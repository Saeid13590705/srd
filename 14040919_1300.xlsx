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Ravesh\1403_1404_karname\14040919\14040922\"/>
    </mc:Choice>
  </mc:AlternateContent>
  <xr:revisionPtr revIDLastSave="0" documentId="13_ncr:1_{3E96FE7C-CC9A-4258-9101-E920DA79C28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7" sheetId="2" r:id="rId1"/>
    <sheet name="8" sheetId="4" r:id="rId2"/>
    <sheet name="9" sheetId="6" r:id="rId3"/>
  </sheets>
  <definedNames>
    <definedName name="سسس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R3" i="2" s="1"/>
  <c r="S3" i="2" s="1"/>
  <c r="T3" i="2" s="1"/>
  <c r="Q4" i="2"/>
  <c r="R4" i="2" s="1"/>
  <c r="S4" i="2" s="1"/>
  <c r="T4" i="2" s="1"/>
  <c r="Q5" i="2"/>
  <c r="R5" i="2" s="1"/>
  <c r="S5" i="2" s="1"/>
  <c r="T5" i="2" s="1"/>
  <c r="Q6" i="2"/>
  <c r="R6" i="2" s="1"/>
  <c r="S6" i="2" s="1"/>
  <c r="T6" i="2" s="1"/>
  <c r="Q7" i="2"/>
  <c r="R7" i="2" s="1"/>
  <c r="S7" i="2" s="1"/>
  <c r="T7" i="2" s="1"/>
  <c r="Q8" i="2"/>
  <c r="R8" i="2" s="1"/>
  <c r="S8" i="2" s="1"/>
  <c r="T8" i="2" s="1"/>
  <c r="Q9" i="2"/>
  <c r="R9" i="2" s="1"/>
  <c r="S9" i="2" s="1"/>
  <c r="T9" i="2" s="1"/>
  <c r="Q10" i="2"/>
  <c r="R10" i="2" s="1"/>
  <c r="S10" i="2" s="1"/>
  <c r="T10" i="2" s="1"/>
  <c r="Q11" i="2"/>
  <c r="R11" i="2" s="1"/>
  <c r="S11" i="2" s="1"/>
  <c r="T11" i="2" s="1"/>
  <c r="Q12" i="2"/>
  <c r="R12" i="2" s="1"/>
  <c r="S12" i="2" s="1"/>
  <c r="T12" i="2" s="1"/>
  <c r="Q13" i="2"/>
  <c r="R13" i="2" s="1"/>
  <c r="S13" i="2" s="1"/>
  <c r="T13" i="2" s="1"/>
  <c r="Q14" i="2"/>
  <c r="R14" i="2" s="1"/>
  <c r="S14" i="2" s="1"/>
  <c r="T14" i="2" s="1"/>
  <c r="Q15" i="2"/>
  <c r="R15" i="2" s="1"/>
  <c r="S15" i="2" s="1"/>
  <c r="T15" i="2" s="1"/>
  <c r="Q16" i="2"/>
  <c r="R16" i="2" s="1"/>
  <c r="S16" i="2" s="1"/>
  <c r="T16" i="2" s="1"/>
  <c r="Q17" i="2"/>
  <c r="R17" i="2" s="1"/>
  <c r="S17" i="2" s="1"/>
  <c r="T17" i="2" s="1"/>
  <c r="Q18" i="2"/>
  <c r="R18" i="2" s="1"/>
  <c r="S18" i="2" s="1"/>
  <c r="T18" i="2" s="1"/>
  <c r="Q19" i="2"/>
  <c r="R19" i="2" s="1"/>
  <c r="S19" i="2" s="1"/>
  <c r="T19" i="2" s="1"/>
  <c r="Q20" i="2"/>
  <c r="R20" i="2" s="1"/>
  <c r="S20" i="2" s="1"/>
  <c r="T20" i="2" s="1"/>
  <c r="Q21" i="2"/>
  <c r="R21" i="2" s="1"/>
  <c r="S21" i="2" s="1"/>
  <c r="T21" i="2" s="1"/>
  <c r="Q22" i="2"/>
  <c r="R22" i="2" s="1"/>
  <c r="S22" i="2" s="1"/>
  <c r="T22" i="2" s="1"/>
  <c r="Q23" i="2"/>
  <c r="R23" i="2" s="1"/>
  <c r="S23" i="2" s="1"/>
  <c r="T23" i="2" s="1"/>
  <c r="Q24" i="2"/>
  <c r="R24" i="2" s="1"/>
  <c r="S24" i="2" s="1"/>
  <c r="T24" i="2" s="1"/>
  <c r="Q25" i="2"/>
  <c r="R25" i="2" s="1"/>
  <c r="S25" i="2" s="1"/>
  <c r="T25" i="2" s="1"/>
  <c r="Q26" i="2"/>
  <c r="R26" i="2" s="1"/>
  <c r="S26" i="2" s="1"/>
  <c r="T26" i="2" s="1"/>
  <c r="Q27" i="2"/>
  <c r="R27" i="2" s="1"/>
  <c r="S27" i="2" s="1"/>
  <c r="T27" i="2" s="1"/>
  <c r="Q28" i="2"/>
  <c r="R28" i="2" s="1"/>
  <c r="S28" i="2" s="1"/>
  <c r="T28" i="2" s="1"/>
  <c r="Q29" i="2"/>
  <c r="R29" i="2" s="1"/>
  <c r="S29" i="2" s="1"/>
  <c r="T29" i="2" s="1"/>
  <c r="Q30" i="2"/>
  <c r="R30" i="2" s="1"/>
  <c r="S30" i="2" s="1"/>
  <c r="T30" i="2" s="1"/>
  <c r="Q31" i="2"/>
  <c r="R31" i="2" s="1"/>
  <c r="S31" i="2" s="1"/>
  <c r="T31" i="2" s="1"/>
  <c r="Q32" i="2"/>
  <c r="R32" i="2" s="1"/>
  <c r="S32" i="2" s="1"/>
  <c r="T32" i="2" s="1"/>
  <c r="Q33" i="2"/>
  <c r="R33" i="2" s="1"/>
  <c r="S33" i="2" s="1"/>
  <c r="T33" i="2" s="1"/>
  <c r="Q34" i="2"/>
  <c r="R34" i="2" s="1"/>
  <c r="S34" i="2" s="1"/>
  <c r="T34" i="2" s="1"/>
  <c r="Q35" i="2"/>
  <c r="R35" i="2" s="1"/>
  <c r="S35" i="2" s="1"/>
  <c r="T35" i="2" s="1"/>
  <c r="Q2" i="2"/>
  <c r="R2" i="2" s="1"/>
  <c r="S2" i="2" s="1"/>
  <c r="T2" i="2" s="1"/>
  <c r="Q3" i="4"/>
  <c r="R3" i="4" s="1"/>
  <c r="S3" i="4" s="1"/>
  <c r="T3" i="4" s="1"/>
  <c r="Q4" i="4"/>
  <c r="R4" i="4" s="1"/>
  <c r="S4" i="4" s="1"/>
  <c r="T4" i="4" s="1"/>
  <c r="Q5" i="4"/>
  <c r="R5" i="4" s="1"/>
  <c r="S5" i="4" s="1"/>
  <c r="T5" i="4" s="1"/>
  <c r="Q6" i="4"/>
  <c r="R6" i="4" s="1"/>
  <c r="S6" i="4" s="1"/>
  <c r="T6" i="4" s="1"/>
  <c r="Q7" i="4"/>
  <c r="R7" i="4" s="1"/>
  <c r="S7" i="4" s="1"/>
  <c r="T7" i="4" s="1"/>
  <c r="Q8" i="4"/>
  <c r="R8" i="4" s="1"/>
  <c r="S8" i="4" s="1"/>
  <c r="T8" i="4" s="1"/>
  <c r="Q9" i="4"/>
  <c r="R9" i="4" s="1"/>
  <c r="S9" i="4" s="1"/>
  <c r="T9" i="4" s="1"/>
  <c r="Q10" i="4"/>
  <c r="R10" i="4" s="1"/>
  <c r="S10" i="4" s="1"/>
  <c r="T10" i="4" s="1"/>
  <c r="Q11" i="4"/>
  <c r="R11" i="4" s="1"/>
  <c r="S11" i="4" s="1"/>
  <c r="T11" i="4" s="1"/>
  <c r="Q12" i="4"/>
  <c r="R12" i="4" s="1"/>
  <c r="S12" i="4" s="1"/>
  <c r="T12" i="4" s="1"/>
  <c r="Q13" i="4"/>
  <c r="R13" i="4" s="1"/>
  <c r="S13" i="4" s="1"/>
  <c r="T13" i="4" s="1"/>
  <c r="Q14" i="4"/>
  <c r="R14" i="4" s="1"/>
  <c r="S14" i="4" s="1"/>
  <c r="T14" i="4" s="1"/>
  <c r="Q15" i="4"/>
  <c r="R15" i="4" s="1"/>
  <c r="S15" i="4" s="1"/>
  <c r="T15" i="4" s="1"/>
  <c r="Q16" i="4"/>
  <c r="R16" i="4" s="1"/>
  <c r="S16" i="4" s="1"/>
  <c r="T16" i="4" s="1"/>
  <c r="Q17" i="4"/>
  <c r="R17" i="4" s="1"/>
  <c r="S17" i="4" s="1"/>
  <c r="T17" i="4" s="1"/>
  <c r="Q18" i="4"/>
  <c r="R18" i="4" s="1"/>
  <c r="S18" i="4" s="1"/>
  <c r="T18" i="4" s="1"/>
  <c r="Q19" i="4"/>
  <c r="R19" i="4" s="1"/>
  <c r="S19" i="4" s="1"/>
  <c r="T19" i="4" s="1"/>
  <c r="Q20" i="4"/>
  <c r="R20" i="4" s="1"/>
  <c r="S20" i="4" s="1"/>
  <c r="T20" i="4" s="1"/>
  <c r="Q21" i="4"/>
  <c r="R21" i="4" s="1"/>
  <c r="S21" i="4" s="1"/>
  <c r="T21" i="4" s="1"/>
  <c r="Q22" i="4"/>
  <c r="R22" i="4" s="1"/>
  <c r="S22" i="4" s="1"/>
  <c r="T22" i="4" s="1"/>
  <c r="Q23" i="4"/>
  <c r="R23" i="4" s="1"/>
  <c r="S23" i="4" s="1"/>
  <c r="T23" i="4" s="1"/>
  <c r="Q24" i="4"/>
  <c r="R24" i="4" s="1"/>
  <c r="S24" i="4" s="1"/>
  <c r="T24" i="4" s="1"/>
  <c r="Q25" i="4"/>
  <c r="R25" i="4" s="1"/>
  <c r="S25" i="4" s="1"/>
  <c r="T25" i="4" s="1"/>
  <c r="Q26" i="4"/>
  <c r="R26" i="4" s="1"/>
  <c r="S26" i="4" s="1"/>
  <c r="T26" i="4" s="1"/>
  <c r="Q27" i="4"/>
  <c r="R27" i="4" s="1"/>
  <c r="S27" i="4" s="1"/>
  <c r="T27" i="4" s="1"/>
  <c r="Q28" i="4"/>
  <c r="R28" i="4" s="1"/>
  <c r="S28" i="4" s="1"/>
  <c r="T28" i="4" s="1"/>
  <c r="Q29" i="4"/>
  <c r="R29" i="4" s="1"/>
  <c r="S29" i="4" s="1"/>
  <c r="T29" i="4" s="1"/>
  <c r="Q30" i="4"/>
  <c r="R30" i="4" s="1"/>
  <c r="S30" i="4" s="1"/>
  <c r="T30" i="4" s="1"/>
  <c r="Q31" i="4"/>
  <c r="R31" i="4" s="1"/>
  <c r="S31" i="4" s="1"/>
  <c r="T31" i="4" s="1"/>
  <c r="Q32" i="4"/>
  <c r="R32" i="4" s="1"/>
  <c r="S32" i="4" s="1"/>
  <c r="T32" i="4" s="1"/>
  <c r="Q33" i="4"/>
  <c r="R33" i="4" s="1"/>
  <c r="S33" i="4" s="1"/>
  <c r="T33" i="4" s="1"/>
  <c r="Q34" i="4"/>
  <c r="R34" i="4" s="1"/>
  <c r="S34" i="4" s="1"/>
  <c r="T34" i="4" s="1"/>
  <c r="Q2" i="4"/>
  <c r="R2" i="4" s="1"/>
  <c r="S2" i="4" s="1"/>
  <c r="T2" i="4" s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" i="6"/>
</calcChain>
</file>

<file path=xl/sharedStrings.xml><?xml version="1.0" encoding="utf-8"?>
<sst xmlns="http://schemas.openxmlformats.org/spreadsheetml/2006/main" count="336" uniqueCount="184">
  <si>
    <t>نام</t>
  </si>
  <si>
    <t>نام خانوادگی</t>
  </si>
  <si>
    <t>قرآن</t>
  </si>
  <si>
    <t>دینی</t>
  </si>
  <si>
    <t>عربی</t>
  </si>
  <si>
    <t>علوم</t>
  </si>
  <si>
    <t>ریاضی</t>
  </si>
  <si>
    <t>اجتماعی</t>
  </si>
  <si>
    <t>هنر</t>
  </si>
  <si>
    <t>محمدامین</t>
  </si>
  <si>
    <t>ابراهیمیان</t>
  </si>
  <si>
    <t>پویان</t>
  </si>
  <si>
    <t>پورموِئیدی</t>
  </si>
  <si>
    <t xml:space="preserve">کیان </t>
  </si>
  <si>
    <t>جعفری</t>
  </si>
  <si>
    <t>مانی</t>
  </si>
  <si>
    <t>حاجی قربانی</t>
  </si>
  <si>
    <t>طاها</t>
  </si>
  <si>
    <t>حسین فارسی</t>
  </si>
  <si>
    <t>رادوین</t>
  </si>
  <si>
    <t>دهقانی</t>
  </si>
  <si>
    <t>امیرعلی</t>
  </si>
  <si>
    <t>رسولی</t>
  </si>
  <si>
    <t>شکیب</t>
  </si>
  <si>
    <t>سرداشتانی</t>
  </si>
  <si>
    <t>آرتا</t>
  </si>
  <si>
    <t>شکوری</t>
  </si>
  <si>
    <t>قدمی زاد</t>
  </si>
  <si>
    <t xml:space="preserve">حسین </t>
  </si>
  <si>
    <t>کلامی</t>
  </si>
  <si>
    <t>امیرحسن</t>
  </si>
  <si>
    <t>مشتاقیان</t>
  </si>
  <si>
    <t>مقدس نیکو</t>
  </si>
  <si>
    <t>ایلیا</t>
  </si>
  <si>
    <t>مهرابی</t>
  </si>
  <si>
    <t>آرمین</t>
  </si>
  <si>
    <t>میرزا زاده</t>
  </si>
  <si>
    <t>امیرمهبد</t>
  </si>
  <si>
    <t>یاقوتی سلطان</t>
  </si>
  <si>
    <t>محمد مهدی</t>
  </si>
  <si>
    <t>احمدی</t>
  </si>
  <si>
    <t xml:space="preserve">آرین </t>
  </si>
  <si>
    <t>اصغری</t>
  </si>
  <si>
    <t>محمدطاها</t>
  </si>
  <si>
    <t>اکبری</t>
  </si>
  <si>
    <t xml:space="preserve">سپهر </t>
  </si>
  <si>
    <t>بابایی</t>
  </si>
  <si>
    <t>رهام</t>
  </si>
  <si>
    <t>بهجت</t>
  </si>
  <si>
    <t>پیرهادی</t>
  </si>
  <si>
    <t>آراد</t>
  </si>
  <si>
    <t>ترابی</t>
  </si>
  <si>
    <t>امیرارسلان</t>
  </si>
  <si>
    <t>دائی رضائی</t>
  </si>
  <si>
    <t xml:space="preserve">رسا </t>
  </si>
  <si>
    <t>رحمانی</t>
  </si>
  <si>
    <t>علی</t>
  </si>
  <si>
    <t>شعبانی</t>
  </si>
  <si>
    <t>قاسمی نیا</t>
  </si>
  <si>
    <t xml:space="preserve">ماهان </t>
  </si>
  <si>
    <t>قبادی</t>
  </si>
  <si>
    <t>کمیلی خواه</t>
  </si>
  <si>
    <t>کیان</t>
  </si>
  <si>
    <t>گودرزی</t>
  </si>
  <si>
    <t>کارن</t>
  </si>
  <si>
    <t>محمود زاده</t>
  </si>
  <si>
    <t>امیرعباس</t>
  </si>
  <si>
    <t>مرزبان</t>
  </si>
  <si>
    <t>امیرحسین</t>
  </si>
  <si>
    <t>پرهام</t>
  </si>
  <si>
    <t>احدی نیا</t>
  </si>
  <si>
    <t>اردکانیان</t>
  </si>
  <si>
    <t>سامیار</t>
  </si>
  <si>
    <t xml:space="preserve">طاها </t>
  </si>
  <si>
    <t>بوربور</t>
  </si>
  <si>
    <t xml:space="preserve">بنیامین </t>
  </si>
  <si>
    <t>بهرام پور</t>
  </si>
  <si>
    <t>آریوسام</t>
  </si>
  <si>
    <t>پاک طینت</t>
  </si>
  <si>
    <t>حاجی حسینی</t>
  </si>
  <si>
    <t>داناپور</t>
  </si>
  <si>
    <t>ارمیا</t>
  </si>
  <si>
    <t>دانشمندی</t>
  </si>
  <si>
    <t xml:space="preserve">آراد </t>
  </si>
  <si>
    <t>دولتشاهی</t>
  </si>
  <si>
    <t>رادین</t>
  </si>
  <si>
    <t>روزبهانی</t>
  </si>
  <si>
    <t>ماکان</t>
  </si>
  <si>
    <t>سرکان</t>
  </si>
  <si>
    <t>محمدتیام</t>
  </si>
  <si>
    <t>صفائی نژاد</t>
  </si>
  <si>
    <t>کیانوش</t>
  </si>
  <si>
    <t>علیمحمدی</t>
  </si>
  <si>
    <t>فردی</t>
  </si>
  <si>
    <t xml:space="preserve">مهدیار </t>
  </si>
  <si>
    <t>کاشانی منش</t>
  </si>
  <si>
    <t>محمد</t>
  </si>
  <si>
    <t>هاشمی</t>
  </si>
  <si>
    <t>پدرام</t>
  </si>
  <si>
    <t>ماهان</t>
  </si>
  <si>
    <t>سپنتا</t>
  </si>
  <si>
    <t>آرمضانی</t>
  </si>
  <si>
    <t>میلاد</t>
  </si>
  <si>
    <t>اسدی</t>
  </si>
  <si>
    <t>باقری</t>
  </si>
  <si>
    <t xml:space="preserve">بردیا </t>
  </si>
  <si>
    <t>پوران نژاد</t>
  </si>
  <si>
    <t xml:space="preserve">آریا </t>
  </si>
  <si>
    <t>دهقانپور</t>
  </si>
  <si>
    <t>رجبی</t>
  </si>
  <si>
    <t xml:space="preserve">یزدان </t>
  </si>
  <si>
    <t>رمضانی</t>
  </si>
  <si>
    <t>سید مهران</t>
  </si>
  <si>
    <t>روحانی یزدی</t>
  </si>
  <si>
    <t>شاهسوند</t>
  </si>
  <si>
    <t>عباسی</t>
  </si>
  <si>
    <t>نیروان</t>
  </si>
  <si>
    <t>فراهانی</t>
  </si>
  <si>
    <t>رادمهر</t>
  </si>
  <si>
    <t>قمی رستمی</t>
  </si>
  <si>
    <t>آرتین</t>
  </si>
  <si>
    <t>محمدی</t>
  </si>
  <si>
    <t>سید صدرا</t>
  </si>
  <si>
    <t>محمودی</t>
  </si>
  <si>
    <t xml:space="preserve">علیرضا </t>
  </si>
  <si>
    <t>باقری نژاد</t>
  </si>
  <si>
    <t>بهشتی فر</t>
  </si>
  <si>
    <t xml:space="preserve">رادمان </t>
  </si>
  <si>
    <t>رحمتی</t>
  </si>
  <si>
    <t xml:space="preserve">رامتین </t>
  </si>
  <si>
    <t xml:space="preserve">روح افزائی </t>
  </si>
  <si>
    <t>زحمت کش</t>
  </si>
  <si>
    <t>شیبانی</t>
  </si>
  <si>
    <t>صالح بیگی</t>
  </si>
  <si>
    <t>راستین</t>
  </si>
  <si>
    <t>طالاری</t>
  </si>
  <si>
    <t>سحاب</t>
  </si>
  <si>
    <t>علیشیری</t>
  </si>
  <si>
    <t>آرسام</t>
  </si>
  <si>
    <t xml:space="preserve">کیائی </t>
  </si>
  <si>
    <t>سیدطاها</t>
  </si>
  <si>
    <t>موسوی</t>
  </si>
  <si>
    <t>نوری</t>
  </si>
  <si>
    <t>کار و فناوری</t>
  </si>
  <si>
    <t>محمدصدرا</t>
  </si>
  <si>
    <t>آکند</t>
  </si>
  <si>
    <t>ایزدی</t>
  </si>
  <si>
    <t>شایان</t>
  </si>
  <si>
    <t>حاجیلو</t>
  </si>
  <si>
    <t xml:space="preserve">علی </t>
  </si>
  <si>
    <t>رضایی</t>
  </si>
  <si>
    <t xml:space="preserve">کامیار </t>
  </si>
  <si>
    <t>زندی</t>
  </si>
  <si>
    <t>امیرمحمد</t>
  </si>
  <si>
    <t>سلیمانی</t>
  </si>
  <si>
    <t>شنتیا</t>
  </si>
  <si>
    <t>شجاعی پور</t>
  </si>
  <si>
    <t>شفیعی</t>
  </si>
  <si>
    <t>محمدحسام</t>
  </si>
  <si>
    <t>صدیق احسانی</t>
  </si>
  <si>
    <t>آریوبرزن</t>
  </si>
  <si>
    <t>قهرمانی</t>
  </si>
  <si>
    <t>کارگران</t>
  </si>
  <si>
    <t>رضا</t>
  </si>
  <si>
    <t>نورائی</t>
  </si>
  <si>
    <t xml:space="preserve">کسری </t>
  </si>
  <si>
    <t>یازرلو</t>
  </si>
  <si>
    <t>کلاس</t>
  </si>
  <si>
    <t>هفتم / 1</t>
  </si>
  <si>
    <t>هفتم / 2</t>
  </si>
  <si>
    <t>هشتم / 1</t>
  </si>
  <si>
    <t>هشتم / 2</t>
  </si>
  <si>
    <t>نهم / 1</t>
  </si>
  <si>
    <t>نهم / 2</t>
  </si>
  <si>
    <t>املا</t>
  </si>
  <si>
    <t>انشا</t>
  </si>
  <si>
    <t>ادبیات</t>
  </si>
  <si>
    <t>زبان</t>
  </si>
  <si>
    <t>تفکر</t>
  </si>
  <si>
    <t>هوش</t>
  </si>
  <si>
    <t>جمع</t>
  </si>
  <si>
    <t>تقسیمبرسیزده</t>
  </si>
  <si>
    <t>روند</t>
  </si>
  <si>
    <t>متن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</si>
</sst>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43E3-5269-482D-9A20-1AD74310F3ED}">
  <sheetPr codeName="Sheet1"/>
  <dimension ref="A1:T35"/>
  <sheetViews>
    <sheetView rightToLeft="1" topLeftCell="B1" zoomScale="115" zoomScaleNormal="115" workbookViewId="0">
      <selection activeCell="U7" sqref="U7"/>
    </sheetView>
  </sheetViews>
  <sheetFormatPr defaultRowHeight="14.4" x14ac:dyDescent="0.3"/>
  <cols>
    <col min="1" max="1" width="6.44140625" bestFit="1" customWidth="1"/>
    <col min="2" max="2" width="8.44140625" bestFit="1" customWidth="1"/>
    <col min="3" max="3" width="9.6640625" bestFit="1" customWidth="1"/>
    <col min="4" max="4" width="4" bestFit="1" customWidth="1"/>
    <col min="5" max="5" width="3.77734375" bestFit="1" customWidth="1"/>
    <col min="6" max="7" width="3.44140625" bestFit="1" customWidth="1"/>
    <col min="8" max="8" width="4.88671875" bestFit="1" customWidth="1"/>
    <col min="9" max="9" width="4.6640625" bestFit="1" customWidth="1"/>
    <col min="10" max="10" width="3.88671875" bestFit="1" customWidth="1"/>
    <col min="11" max="11" width="4" bestFit="1" customWidth="1"/>
    <col min="12" max="12" width="5.77734375" bestFit="1" customWidth="1"/>
    <col min="13" max="13" width="6.44140625" bestFit="1" customWidth="1"/>
    <col min="14" max="14" width="4" bestFit="1" customWidth="1"/>
    <col min="15" max="15" width="3.33203125" bestFit="1" customWidth="1"/>
    <col min="16" max="16" width="4.44140625" bestFit="1" customWidth="1"/>
    <col min="17" max="17" width="4.109375" bestFit="1" customWidth="1"/>
    <col min="18" max="18" width="12.5546875" bestFit="1" customWidth="1"/>
    <col min="19" max="19" width="6.21875" bestFit="1" customWidth="1"/>
    <col min="20" max="20" width="5.6640625" bestFit="1" customWidth="1"/>
    <col min="21" max="21" width="8.5546875" customWidth="1"/>
    <col min="22" max="22" width="22.44140625" bestFit="1" customWidth="1"/>
    <col min="23" max="23" width="25" customWidth="1"/>
  </cols>
  <sheetData>
    <row r="1" spans="1:20" x14ac:dyDescent="0.3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174</v>
      </c>
      <c r="G1" t="s">
        <v>175</v>
      </c>
      <c r="H1" t="s">
        <v>176</v>
      </c>
      <c r="I1" t="s">
        <v>4</v>
      </c>
      <c r="J1" t="s">
        <v>177</v>
      </c>
      <c r="K1" t="s">
        <v>5</v>
      </c>
      <c r="L1" t="s">
        <v>6</v>
      </c>
      <c r="M1" t="s">
        <v>7</v>
      </c>
      <c r="N1" t="s">
        <v>178</v>
      </c>
      <c r="O1" t="s">
        <v>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</row>
    <row r="2" spans="1:20" x14ac:dyDescent="0.3">
      <c r="A2" t="s">
        <v>168</v>
      </c>
      <c r="B2" t="s">
        <v>9</v>
      </c>
      <c r="C2" t="s">
        <v>10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f>SUM(D2:P2)</f>
        <v>260</v>
      </c>
      <c r="R2">
        <f>Q2/13</f>
        <v>20</v>
      </c>
      <c r="S2">
        <f>ROUNDUP(R2,2)</f>
        <v>20</v>
      </c>
      <c r="T2" t="str">
        <f>TEXT(S2,"0.00")</f>
        <v>20.00</v>
      </c>
    </row>
    <row r="3" spans="1:20" x14ac:dyDescent="0.3">
      <c r="A3" t="s">
        <v>168</v>
      </c>
      <c r="B3" t="s">
        <v>11</v>
      </c>
      <c r="C3" t="s">
        <v>12</v>
      </c>
      <c r="D3">
        <v>18</v>
      </c>
      <c r="E3">
        <v>17</v>
      </c>
      <c r="F3">
        <v>16</v>
      </c>
      <c r="G3">
        <v>17</v>
      </c>
      <c r="H3">
        <v>19</v>
      </c>
      <c r="I3">
        <v>19</v>
      </c>
      <c r="J3">
        <v>20</v>
      </c>
      <c r="K3">
        <v>15</v>
      </c>
      <c r="L3">
        <v>14</v>
      </c>
      <c r="M3">
        <v>20</v>
      </c>
      <c r="N3">
        <v>20</v>
      </c>
      <c r="O3">
        <v>20</v>
      </c>
      <c r="P3">
        <v>20</v>
      </c>
      <c r="Q3">
        <f t="shared" ref="Q3:Q35" si="0">SUM(D3:P3)</f>
        <v>235</v>
      </c>
      <c r="R3">
        <f t="shared" ref="R3:R35" si="1">Q3/13</f>
        <v>18.076923076923077</v>
      </c>
      <c r="S3">
        <f t="shared" ref="S3:S35" si="2">ROUNDUP(R3,2)</f>
        <v>18.080000000000002</v>
      </c>
      <c r="T3" t="str">
        <f t="shared" ref="T3:T35" si="3">TEXT(S3,"0.00")</f>
        <v>18.08</v>
      </c>
    </row>
    <row r="4" spans="1:20" x14ac:dyDescent="0.3">
      <c r="A4" t="s">
        <v>168</v>
      </c>
      <c r="B4" t="s">
        <v>13</v>
      </c>
      <c r="C4" t="s">
        <v>14</v>
      </c>
      <c r="D4">
        <v>17</v>
      </c>
      <c r="E4">
        <v>20</v>
      </c>
      <c r="F4">
        <v>18</v>
      </c>
      <c r="G4">
        <v>18</v>
      </c>
      <c r="H4">
        <v>17</v>
      </c>
      <c r="I4">
        <v>20</v>
      </c>
      <c r="J4">
        <v>18</v>
      </c>
      <c r="K4">
        <v>17</v>
      </c>
      <c r="L4">
        <v>14</v>
      </c>
      <c r="M4">
        <v>20</v>
      </c>
      <c r="N4">
        <v>18</v>
      </c>
      <c r="O4">
        <v>20</v>
      </c>
      <c r="P4">
        <v>20</v>
      </c>
      <c r="Q4">
        <f t="shared" si="0"/>
        <v>237</v>
      </c>
      <c r="R4">
        <f t="shared" si="1"/>
        <v>18.23076923076923</v>
      </c>
      <c r="S4">
        <f t="shared" si="2"/>
        <v>18.240000000000002</v>
      </c>
      <c r="T4" t="str">
        <f t="shared" si="3"/>
        <v>18.24</v>
      </c>
    </row>
    <row r="5" spans="1:20" x14ac:dyDescent="0.3">
      <c r="A5" t="s">
        <v>168</v>
      </c>
      <c r="B5" t="s">
        <v>15</v>
      </c>
      <c r="C5" t="s">
        <v>14</v>
      </c>
      <c r="D5">
        <v>17</v>
      </c>
      <c r="E5">
        <v>17</v>
      </c>
      <c r="F5">
        <v>16</v>
      </c>
      <c r="G5">
        <v>17</v>
      </c>
      <c r="H5">
        <v>16</v>
      </c>
      <c r="I5">
        <v>18</v>
      </c>
      <c r="J5">
        <v>14</v>
      </c>
      <c r="K5">
        <v>15</v>
      </c>
      <c r="L5">
        <v>16</v>
      </c>
      <c r="M5">
        <v>16</v>
      </c>
      <c r="N5">
        <v>19</v>
      </c>
      <c r="O5">
        <v>20</v>
      </c>
      <c r="P5">
        <v>20</v>
      </c>
      <c r="Q5">
        <f t="shared" si="0"/>
        <v>221</v>
      </c>
      <c r="R5">
        <f t="shared" si="1"/>
        <v>17</v>
      </c>
      <c r="S5">
        <f t="shared" si="2"/>
        <v>17</v>
      </c>
      <c r="T5" t="str">
        <f t="shared" si="3"/>
        <v>17.00</v>
      </c>
    </row>
    <row r="6" spans="1:20" x14ac:dyDescent="0.3">
      <c r="A6" t="s">
        <v>168</v>
      </c>
      <c r="B6" t="s">
        <v>9</v>
      </c>
      <c r="C6" t="s">
        <v>16</v>
      </c>
      <c r="D6">
        <v>10</v>
      </c>
      <c r="E6">
        <v>15</v>
      </c>
      <c r="F6">
        <v>19</v>
      </c>
      <c r="G6">
        <v>19</v>
      </c>
      <c r="H6">
        <v>16</v>
      </c>
      <c r="I6">
        <v>20</v>
      </c>
      <c r="J6">
        <v>11</v>
      </c>
      <c r="K6">
        <v>15</v>
      </c>
      <c r="L6">
        <v>16</v>
      </c>
      <c r="M6">
        <v>18</v>
      </c>
      <c r="N6">
        <v>20</v>
      </c>
      <c r="O6">
        <v>20</v>
      </c>
      <c r="P6">
        <v>20</v>
      </c>
      <c r="Q6">
        <f t="shared" si="0"/>
        <v>219</v>
      </c>
      <c r="R6">
        <f t="shared" si="1"/>
        <v>16.846153846153847</v>
      </c>
      <c r="S6">
        <f t="shared" si="2"/>
        <v>16.850000000000001</v>
      </c>
      <c r="T6" t="str">
        <f t="shared" si="3"/>
        <v>16.85</v>
      </c>
    </row>
    <row r="7" spans="1:20" x14ac:dyDescent="0.3">
      <c r="A7" t="s">
        <v>168</v>
      </c>
      <c r="B7" t="s">
        <v>17</v>
      </c>
      <c r="C7" t="s">
        <v>18</v>
      </c>
      <c r="D7">
        <v>17</v>
      </c>
      <c r="E7">
        <v>16</v>
      </c>
      <c r="F7">
        <v>16</v>
      </c>
      <c r="G7">
        <v>19</v>
      </c>
      <c r="H7">
        <v>19</v>
      </c>
      <c r="I7">
        <v>19</v>
      </c>
      <c r="J7">
        <v>14</v>
      </c>
      <c r="K7">
        <v>17</v>
      </c>
      <c r="L7">
        <v>14</v>
      </c>
      <c r="M7">
        <v>20</v>
      </c>
      <c r="N7">
        <v>18</v>
      </c>
      <c r="O7">
        <v>18</v>
      </c>
      <c r="P7">
        <v>17</v>
      </c>
      <c r="Q7">
        <f t="shared" si="0"/>
        <v>224</v>
      </c>
      <c r="R7">
        <f t="shared" si="1"/>
        <v>17.23076923076923</v>
      </c>
      <c r="S7">
        <f t="shared" si="2"/>
        <v>17.240000000000002</v>
      </c>
      <c r="T7" t="str">
        <f t="shared" si="3"/>
        <v>17.24</v>
      </c>
    </row>
    <row r="8" spans="1:20" x14ac:dyDescent="0.3">
      <c r="A8" t="s">
        <v>168</v>
      </c>
      <c r="B8" t="s">
        <v>19</v>
      </c>
      <c r="C8" t="s">
        <v>20</v>
      </c>
      <c r="D8">
        <v>15</v>
      </c>
      <c r="E8">
        <v>18</v>
      </c>
      <c r="F8">
        <v>18</v>
      </c>
      <c r="G8">
        <v>19</v>
      </c>
      <c r="H8">
        <v>18</v>
      </c>
      <c r="I8">
        <v>17</v>
      </c>
      <c r="J8">
        <v>17</v>
      </c>
      <c r="K8">
        <v>14</v>
      </c>
      <c r="L8">
        <v>13</v>
      </c>
      <c r="M8">
        <v>18</v>
      </c>
      <c r="N8">
        <v>20</v>
      </c>
      <c r="O8">
        <v>20</v>
      </c>
      <c r="P8">
        <v>20</v>
      </c>
      <c r="Q8">
        <f t="shared" si="0"/>
        <v>227</v>
      </c>
      <c r="R8">
        <f t="shared" si="1"/>
        <v>17.46153846153846</v>
      </c>
      <c r="S8">
        <f t="shared" si="2"/>
        <v>17.470000000000002</v>
      </c>
      <c r="T8" t="str">
        <f t="shared" si="3"/>
        <v>17.47</v>
      </c>
    </row>
    <row r="9" spans="1:20" x14ac:dyDescent="0.3">
      <c r="A9" t="s">
        <v>168</v>
      </c>
      <c r="B9" t="s">
        <v>21</v>
      </c>
      <c r="C9" t="s">
        <v>22</v>
      </c>
      <c r="D9">
        <v>0</v>
      </c>
      <c r="E9">
        <v>0</v>
      </c>
      <c r="F9">
        <v>4</v>
      </c>
      <c r="G9">
        <v>15</v>
      </c>
      <c r="H9">
        <v>8</v>
      </c>
      <c r="I9">
        <v>0</v>
      </c>
      <c r="J9">
        <v>0</v>
      </c>
      <c r="K9">
        <v>7</v>
      </c>
      <c r="L9">
        <v>0</v>
      </c>
      <c r="M9">
        <v>0</v>
      </c>
      <c r="N9">
        <v>17</v>
      </c>
      <c r="O9">
        <v>16</v>
      </c>
      <c r="P9">
        <v>17</v>
      </c>
      <c r="Q9">
        <f t="shared" si="0"/>
        <v>84</v>
      </c>
      <c r="R9">
        <f t="shared" si="1"/>
        <v>6.4615384615384617</v>
      </c>
      <c r="S9">
        <f t="shared" si="2"/>
        <v>6.47</v>
      </c>
      <c r="T9" t="str">
        <f t="shared" si="3"/>
        <v>6.47</v>
      </c>
    </row>
    <row r="10" spans="1:20" x14ac:dyDescent="0.3">
      <c r="A10" t="s">
        <v>168</v>
      </c>
      <c r="B10" t="s">
        <v>23</v>
      </c>
      <c r="C10" t="s">
        <v>24</v>
      </c>
      <c r="D10">
        <v>16</v>
      </c>
      <c r="E10">
        <v>13</v>
      </c>
      <c r="F10">
        <v>15</v>
      </c>
      <c r="G10">
        <v>18</v>
      </c>
      <c r="H10">
        <v>16</v>
      </c>
      <c r="I10">
        <v>16</v>
      </c>
      <c r="J10">
        <v>18</v>
      </c>
      <c r="K10">
        <v>14</v>
      </c>
      <c r="L10">
        <v>14</v>
      </c>
      <c r="M10">
        <v>18</v>
      </c>
      <c r="N10">
        <v>18</v>
      </c>
      <c r="O10">
        <v>20</v>
      </c>
      <c r="P10">
        <v>20</v>
      </c>
      <c r="Q10">
        <f t="shared" si="0"/>
        <v>216</v>
      </c>
      <c r="R10">
        <f t="shared" si="1"/>
        <v>16.615384615384617</v>
      </c>
      <c r="S10">
        <f t="shared" si="2"/>
        <v>16.62</v>
      </c>
      <c r="T10" t="str">
        <f t="shared" si="3"/>
        <v>16.62</v>
      </c>
    </row>
    <row r="11" spans="1:20" x14ac:dyDescent="0.3">
      <c r="A11" t="s">
        <v>168</v>
      </c>
      <c r="B11" t="s">
        <v>25</v>
      </c>
      <c r="C11" t="s">
        <v>26</v>
      </c>
      <c r="D11">
        <v>14</v>
      </c>
      <c r="E11">
        <v>18</v>
      </c>
      <c r="F11">
        <v>0</v>
      </c>
      <c r="G11">
        <v>19</v>
      </c>
      <c r="H11">
        <v>0</v>
      </c>
      <c r="I11">
        <v>19</v>
      </c>
      <c r="J11">
        <v>18</v>
      </c>
      <c r="K11">
        <v>17</v>
      </c>
      <c r="L11">
        <v>18</v>
      </c>
      <c r="M11">
        <v>0</v>
      </c>
      <c r="N11">
        <v>18</v>
      </c>
      <c r="O11">
        <v>20</v>
      </c>
      <c r="P11">
        <v>20</v>
      </c>
      <c r="Q11">
        <f t="shared" si="0"/>
        <v>181</v>
      </c>
      <c r="R11">
        <f t="shared" si="1"/>
        <v>13.923076923076923</v>
      </c>
      <c r="S11">
        <f t="shared" si="2"/>
        <v>13.93</v>
      </c>
      <c r="T11" t="str">
        <f t="shared" si="3"/>
        <v>13.93</v>
      </c>
    </row>
    <row r="12" spans="1:20" x14ac:dyDescent="0.3">
      <c r="A12" t="s">
        <v>168</v>
      </c>
      <c r="B12" t="s">
        <v>11</v>
      </c>
      <c r="C12" t="s">
        <v>27</v>
      </c>
      <c r="D12">
        <v>17</v>
      </c>
      <c r="E12">
        <v>17</v>
      </c>
      <c r="F12">
        <v>18</v>
      </c>
      <c r="G12">
        <v>19</v>
      </c>
      <c r="H12">
        <v>17</v>
      </c>
      <c r="I12">
        <v>20</v>
      </c>
      <c r="J12">
        <v>13</v>
      </c>
      <c r="K12">
        <v>15</v>
      </c>
      <c r="L12">
        <v>14</v>
      </c>
      <c r="M12">
        <v>20</v>
      </c>
      <c r="N12">
        <v>19</v>
      </c>
      <c r="O12">
        <v>20</v>
      </c>
      <c r="P12">
        <v>20</v>
      </c>
      <c r="Q12">
        <f t="shared" si="0"/>
        <v>229</v>
      </c>
      <c r="R12">
        <f t="shared" si="1"/>
        <v>17.615384615384617</v>
      </c>
      <c r="S12">
        <f t="shared" si="2"/>
        <v>17.62</v>
      </c>
      <c r="T12" t="str">
        <f t="shared" si="3"/>
        <v>17.62</v>
      </c>
    </row>
    <row r="13" spans="1:20" x14ac:dyDescent="0.3">
      <c r="A13" t="s">
        <v>168</v>
      </c>
      <c r="B13" t="s">
        <v>28</v>
      </c>
      <c r="C13" t="s">
        <v>29</v>
      </c>
      <c r="D13">
        <v>20</v>
      </c>
      <c r="E13">
        <v>20</v>
      </c>
      <c r="F13">
        <v>20</v>
      </c>
      <c r="G13">
        <v>20</v>
      </c>
      <c r="H13">
        <v>19</v>
      </c>
      <c r="I13">
        <v>20</v>
      </c>
      <c r="J13">
        <v>17</v>
      </c>
      <c r="K13">
        <v>20</v>
      </c>
      <c r="L13">
        <v>16</v>
      </c>
      <c r="M13">
        <v>20</v>
      </c>
      <c r="N13">
        <v>20</v>
      </c>
      <c r="O13">
        <v>20</v>
      </c>
      <c r="P13">
        <v>20</v>
      </c>
      <c r="Q13">
        <f t="shared" si="0"/>
        <v>252</v>
      </c>
      <c r="R13">
        <f t="shared" si="1"/>
        <v>19.384615384615383</v>
      </c>
      <c r="S13">
        <f t="shared" si="2"/>
        <v>19.39</v>
      </c>
      <c r="T13" t="str">
        <f t="shared" si="3"/>
        <v>19.39</v>
      </c>
    </row>
    <row r="14" spans="1:20" x14ac:dyDescent="0.3">
      <c r="A14" t="s">
        <v>168</v>
      </c>
      <c r="B14" t="s">
        <v>30</v>
      </c>
      <c r="C14" t="s">
        <v>31</v>
      </c>
      <c r="D14">
        <v>20</v>
      </c>
      <c r="E14">
        <v>17</v>
      </c>
      <c r="F14">
        <v>17</v>
      </c>
      <c r="G14">
        <v>17</v>
      </c>
      <c r="H14">
        <v>19</v>
      </c>
      <c r="I14">
        <v>16</v>
      </c>
      <c r="J14">
        <v>10</v>
      </c>
      <c r="K14">
        <v>14</v>
      </c>
      <c r="L14">
        <v>10</v>
      </c>
      <c r="M14">
        <v>20</v>
      </c>
      <c r="N14">
        <v>19</v>
      </c>
      <c r="O14">
        <v>20</v>
      </c>
      <c r="P14">
        <v>20</v>
      </c>
      <c r="Q14">
        <f t="shared" si="0"/>
        <v>219</v>
      </c>
      <c r="R14">
        <f t="shared" si="1"/>
        <v>16.846153846153847</v>
      </c>
      <c r="S14">
        <f t="shared" si="2"/>
        <v>16.850000000000001</v>
      </c>
      <c r="T14" t="str">
        <f t="shared" si="3"/>
        <v>16.85</v>
      </c>
    </row>
    <row r="15" spans="1:20" x14ac:dyDescent="0.3">
      <c r="A15" t="s">
        <v>168</v>
      </c>
      <c r="B15" t="s">
        <v>21</v>
      </c>
      <c r="C15" t="s">
        <v>32</v>
      </c>
      <c r="D15">
        <v>15</v>
      </c>
      <c r="E15">
        <v>16</v>
      </c>
      <c r="F15">
        <v>20</v>
      </c>
      <c r="G15">
        <v>18</v>
      </c>
      <c r="H15">
        <v>18</v>
      </c>
      <c r="I15">
        <v>14</v>
      </c>
      <c r="J15">
        <v>17</v>
      </c>
      <c r="K15">
        <v>20</v>
      </c>
      <c r="L15">
        <v>16</v>
      </c>
      <c r="M15">
        <v>20</v>
      </c>
      <c r="N15">
        <v>20</v>
      </c>
      <c r="O15">
        <v>20</v>
      </c>
      <c r="P15">
        <v>20</v>
      </c>
      <c r="Q15">
        <f t="shared" si="0"/>
        <v>234</v>
      </c>
      <c r="R15">
        <f t="shared" si="1"/>
        <v>18</v>
      </c>
      <c r="S15">
        <f t="shared" si="2"/>
        <v>18</v>
      </c>
      <c r="T15" t="str">
        <f t="shared" si="3"/>
        <v>18.00</v>
      </c>
    </row>
    <row r="16" spans="1:20" x14ac:dyDescent="0.3">
      <c r="A16" t="s">
        <v>168</v>
      </c>
      <c r="B16" t="s">
        <v>33</v>
      </c>
      <c r="C16" t="s">
        <v>34</v>
      </c>
      <c r="D16">
        <v>0</v>
      </c>
      <c r="E16">
        <v>20</v>
      </c>
      <c r="F16">
        <v>19</v>
      </c>
      <c r="G16">
        <v>20</v>
      </c>
      <c r="H16">
        <v>18</v>
      </c>
      <c r="I16">
        <v>18</v>
      </c>
      <c r="J16">
        <v>19</v>
      </c>
      <c r="K16">
        <v>16</v>
      </c>
      <c r="L16">
        <v>18</v>
      </c>
      <c r="M16">
        <v>20</v>
      </c>
      <c r="N16">
        <v>19</v>
      </c>
      <c r="O16">
        <v>20</v>
      </c>
      <c r="P16">
        <v>20</v>
      </c>
      <c r="Q16">
        <f t="shared" si="0"/>
        <v>227</v>
      </c>
      <c r="R16">
        <f t="shared" si="1"/>
        <v>17.46153846153846</v>
      </c>
      <c r="S16">
        <f t="shared" si="2"/>
        <v>17.470000000000002</v>
      </c>
      <c r="T16" t="str">
        <f t="shared" si="3"/>
        <v>17.47</v>
      </c>
    </row>
    <row r="17" spans="1:20" x14ac:dyDescent="0.3">
      <c r="A17" t="s">
        <v>168</v>
      </c>
      <c r="B17" t="s">
        <v>35</v>
      </c>
      <c r="C17" t="s">
        <v>36</v>
      </c>
      <c r="D17">
        <v>20</v>
      </c>
      <c r="E17">
        <v>18</v>
      </c>
      <c r="F17">
        <v>16</v>
      </c>
      <c r="G17">
        <v>18</v>
      </c>
      <c r="H17">
        <v>17</v>
      </c>
      <c r="I17">
        <v>0</v>
      </c>
      <c r="J17">
        <v>18</v>
      </c>
      <c r="K17">
        <v>14</v>
      </c>
      <c r="L17">
        <v>18</v>
      </c>
      <c r="M17">
        <v>20</v>
      </c>
      <c r="N17">
        <v>20</v>
      </c>
      <c r="O17">
        <v>20</v>
      </c>
      <c r="P17">
        <v>20</v>
      </c>
      <c r="Q17">
        <f t="shared" si="0"/>
        <v>219</v>
      </c>
      <c r="R17">
        <f t="shared" si="1"/>
        <v>16.846153846153847</v>
      </c>
      <c r="S17">
        <f t="shared" si="2"/>
        <v>16.850000000000001</v>
      </c>
      <c r="T17" t="str">
        <f t="shared" si="3"/>
        <v>16.85</v>
      </c>
    </row>
    <row r="18" spans="1:20" x14ac:dyDescent="0.3">
      <c r="A18" t="s">
        <v>168</v>
      </c>
      <c r="B18" t="s">
        <v>37</v>
      </c>
      <c r="C18" t="s">
        <v>38</v>
      </c>
      <c r="D18">
        <v>20</v>
      </c>
      <c r="E18">
        <v>18</v>
      </c>
      <c r="F18">
        <v>16</v>
      </c>
      <c r="G18">
        <v>19</v>
      </c>
      <c r="H18">
        <v>18</v>
      </c>
      <c r="I18">
        <v>18</v>
      </c>
      <c r="J18">
        <v>20</v>
      </c>
      <c r="K18">
        <v>16</v>
      </c>
      <c r="L18">
        <v>14</v>
      </c>
      <c r="M18">
        <v>20</v>
      </c>
      <c r="N18">
        <v>19</v>
      </c>
      <c r="O18">
        <v>20</v>
      </c>
      <c r="P18">
        <v>20</v>
      </c>
      <c r="Q18">
        <f t="shared" si="0"/>
        <v>238</v>
      </c>
      <c r="R18">
        <f t="shared" si="1"/>
        <v>18.307692307692307</v>
      </c>
      <c r="S18">
        <f t="shared" si="2"/>
        <v>18.310000000000002</v>
      </c>
      <c r="T18" t="str">
        <f t="shared" si="3"/>
        <v>18.31</v>
      </c>
    </row>
    <row r="19" spans="1:20" x14ac:dyDescent="0.3">
      <c r="A19" t="s">
        <v>169</v>
      </c>
      <c r="B19" t="s">
        <v>39</v>
      </c>
      <c r="C19" t="s">
        <v>40</v>
      </c>
      <c r="D19">
        <v>17</v>
      </c>
      <c r="E19">
        <v>0</v>
      </c>
      <c r="F19">
        <v>16</v>
      </c>
      <c r="G19">
        <v>18</v>
      </c>
      <c r="H19">
        <v>16</v>
      </c>
      <c r="I19">
        <v>17</v>
      </c>
      <c r="J19">
        <v>17</v>
      </c>
      <c r="K19">
        <v>0</v>
      </c>
      <c r="L19">
        <v>10</v>
      </c>
      <c r="M19">
        <v>15</v>
      </c>
      <c r="N19">
        <v>18</v>
      </c>
      <c r="O19">
        <v>18</v>
      </c>
      <c r="P19">
        <v>18</v>
      </c>
      <c r="Q19">
        <f t="shared" si="0"/>
        <v>180</v>
      </c>
      <c r="R19">
        <f t="shared" si="1"/>
        <v>13.846153846153847</v>
      </c>
      <c r="S19">
        <f t="shared" si="2"/>
        <v>13.85</v>
      </c>
      <c r="T19" t="str">
        <f t="shared" si="3"/>
        <v>13.85</v>
      </c>
    </row>
    <row r="20" spans="1:20" x14ac:dyDescent="0.3">
      <c r="A20" t="s">
        <v>169</v>
      </c>
      <c r="B20" t="s">
        <v>41</v>
      </c>
      <c r="C20" t="s">
        <v>42</v>
      </c>
      <c r="D20">
        <v>17</v>
      </c>
      <c r="E20">
        <v>13</v>
      </c>
      <c r="F20">
        <v>18</v>
      </c>
      <c r="G20">
        <v>20</v>
      </c>
      <c r="H20">
        <v>13</v>
      </c>
      <c r="I20">
        <v>14</v>
      </c>
      <c r="J20">
        <v>15</v>
      </c>
      <c r="K20">
        <v>11</v>
      </c>
      <c r="L20">
        <v>0</v>
      </c>
      <c r="M20">
        <v>16</v>
      </c>
      <c r="N20">
        <v>19</v>
      </c>
      <c r="O20">
        <v>20</v>
      </c>
      <c r="P20">
        <v>19</v>
      </c>
      <c r="Q20">
        <f t="shared" si="0"/>
        <v>195</v>
      </c>
      <c r="R20">
        <f t="shared" si="1"/>
        <v>15</v>
      </c>
      <c r="S20">
        <f t="shared" si="2"/>
        <v>15</v>
      </c>
      <c r="T20" t="str">
        <f t="shared" si="3"/>
        <v>15.00</v>
      </c>
    </row>
    <row r="21" spans="1:20" x14ac:dyDescent="0.3">
      <c r="A21" t="s">
        <v>169</v>
      </c>
      <c r="B21" t="s">
        <v>43</v>
      </c>
      <c r="C21" t="s">
        <v>44</v>
      </c>
      <c r="D21">
        <v>20</v>
      </c>
      <c r="E21">
        <v>20</v>
      </c>
      <c r="F21">
        <v>18</v>
      </c>
      <c r="G21">
        <v>19</v>
      </c>
      <c r="H21">
        <v>17</v>
      </c>
      <c r="I21">
        <v>19</v>
      </c>
      <c r="J21">
        <v>17</v>
      </c>
      <c r="K21">
        <v>18</v>
      </c>
      <c r="L21">
        <v>19</v>
      </c>
      <c r="M21">
        <v>20</v>
      </c>
      <c r="N21">
        <v>20</v>
      </c>
      <c r="O21">
        <v>18</v>
      </c>
      <c r="P21">
        <v>16</v>
      </c>
      <c r="Q21">
        <f t="shared" si="0"/>
        <v>241</v>
      </c>
      <c r="R21">
        <f t="shared" si="1"/>
        <v>18.53846153846154</v>
      </c>
      <c r="S21">
        <f t="shared" si="2"/>
        <v>18.540000000000003</v>
      </c>
      <c r="T21" t="str">
        <f t="shared" si="3"/>
        <v>18.54</v>
      </c>
    </row>
    <row r="22" spans="1:20" x14ac:dyDescent="0.3">
      <c r="A22" t="s">
        <v>169</v>
      </c>
      <c r="B22" t="s">
        <v>45</v>
      </c>
      <c r="C22" t="s">
        <v>46</v>
      </c>
      <c r="D22">
        <v>13</v>
      </c>
      <c r="E22">
        <v>4</v>
      </c>
      <c r="F22">
        <v>13</v>
      </c>
      <c r="G22">
        <v>12</v>
      </c>
      <c r="H22">
        <v>4</v>
      </c>
      <c r="I22">
        <v>8</v>
      </c>
      <c r="J22">
        <v>10</v>
      </c>
      <c r="K22">
        <v>2</v>
      </c>
      <c r="L22">
        <v>2</v>
      </c>
      <c r="M22">
        <v>3</v>
      </c>
      <c r="N22">
        <v>15</v>
      </c>
      <c r="O22">
        <v>16</v>
      </c>
      <c r="P22">
        <v>16</v>
      </c>
      <c r="Q22">
        <f t="shared" si="0"/>
        <v>118</v>
      </c>
      <c r="R22">
        <f t="shared" si="1"/>
        <v>9.0769230769230766</v>
      </c>
      <c r="S22">
        <f t="shared" si="2"/>
        <v>9.08</v>
      </c>
      <c r="T22" t="str">
        <f t="shared" si="3"/>
        <v>9.08</v>
      </c>
    </row>
    <row r="23" spans="1:20" x14ac:dyDescent="0.3">
      <c r="A23" t="s">
        <v>169</v>
      </c>
      <c r="B23" t="s">
        <v>47</v>
      </c>
      <c r="C23" t="s">
        <v>48</v>
      </c>
      <c r="D23">
        <v>20</v>
      </c>
      <c r="E23">
        <v>18</v>
      </c>
      <c r="F23">
        <v>17</v>
      </c>
      <c r="G23">
        <v>20</v>
      </c>
      <c r="H23">
        <v>17</v>
      </c>
      <c r="I23">
        <v>16</v>
      </c>
      <c r="J23">
        <v>17</v>
      </c>
      <c r="K23">
        <v>15</v>
      </c>
      <c r="L23">
        <v>16</v>
      </c>
      <c r="M23">
        <v>20</v>
      </c>
      <c r="N23">
        <v>19</v>
      </c>
      <c r="O23">
        <v>20</v>
      </c>
      <c r="P23">
        <v>20</v>
      </c>
      <c r="Q23">
        <f t="shared" si="0"/>
        <v>235</v>
      </c>
      <c r="R23">
        <f t="shared" si="1"/>
        <v>18.076923076923077</v>
      </c>
      <c r="S23">
        <f t="shared" si="2"/>
        <v>18.080000000000002</v>
      </c>
      <c r="T23" t="str">
        <f t="shared" si="3"/>
        <v>18.08</v>
      </c>
    </row>
    <row r="24" spans="1:20" x14ac:dyDescent="0.3">
      <c r="A24" t="s">
        <v>169</v>
      </c>
      <c r="B24" t="s">
        <v>50</v>
      </c>
      <c r="C24" t="s">
        <v>49</v>
      </c>
      <c r="D24">
        <v>20</v>
      </c>
      <c r="E24">
        <v>20</v>
      </c>
      <c r="F24">
        <v>15</v>
      </c>
      <c r="G24">
        <v>20</v>
      </c>
      <c r="H24">
        <v>17</v>
      </c>
      <c r="I24">
        <v>18</v>
      </c>
      <c r="J24">
        <v>17</v>
      </c>
      <c r="K24">
        <v>19</v>
      </c>
      <c r="L24">
        <v>18</v>
      </c>
      <c r="M24">
        <v>20</v>
      </c>
      <c r="N24">
        <v>20</v>
      </c>
      <c r="O24">
        <v>20</v>
      </c>
      <c r="P24">
        <v>19</v>
      </c>
      <c r="Q24">
        <f t="shared" si="0"/>
        <v>243</v>
      </c>
      <c r="R24">
        <f t="shared" si="1"/>
        <v>18.692307692307693</v>
      </c>
      <c r="S24">
        <f t="shared" si="2"/>
        <v>18.700000000000003</v>
      </c>
      <c r="T24" t="str">
        <f t="shared" si="3"/>
        <v>18.70</v>
      </c>
    </row>
    <row r="25" spans="1:20" x14ac:dyDescent="0.3">
      <c r="A25" t="s">
        <v>169</v>
      </c>
      <c r="B25" t="s">
        <v>21</v>
      </c>
      <c r="C25" t="s">
        <v>51</v>
      </c>
      <c r="D25">
        <v>15</v>
      </c>
      <c r="E25">
        <v>10</v>
      </c>
      <c r="F25">
        <v>16</v>
      </c>
      <c r="G25">
        <v>18</v>
      </c>
      <c r="H25">
        <v>18</v>
      </c>
      <c r="I25">
        <v>0</v>
      </c>
      <c r="J25">
        <v>11</v>
      </c>
      <c r="K25">
        <v>13</v>
      </c>
      <c r="L25">
        <v>10</v>
      </c>
      <c r="M25">
        <v>20</v>
      </c>
      <c r="N25">
        <v>18</v>
      </c>
      <c r="O25">
        <v>20</v>
      </c>
      <c r="P25">
        <v>20</v>
      </c>
      <c r="Q25">
        <f t="shared" si="0"/>
        <v>189</v>
      </c>
      <c r="R25">
        <f t="shared" si="1"/>
        <v>14.538461538461538</v>
      </c>
      <c r="S25">
        <f t="shared" si="2"/>
        <v>14.54</v>
      </c>
      <c r="T25" t="str">
        <f t="shared" si="3"/>
        <v>14.54</v>
      </c>
    </row>
    <row r="26" spans="1:20" x14ac:dyDescent="0.3">
      <c r="A26" t="s">
        <v>169</v>
      </c>
      <c r="B26" t="s">
        <v>52</v>
      </c>
      <c r="C26" t="s">
        <v>53</v>
      </c>
      <c r="D26">
        <v>15</v>
      </c>
      <c r="E26">
        <v>3</v>
      </c>
      <c r="F26">
        <v>3</v>
      </c>
      <c r="G26">
        <v>20</v>
      </c>
      <c r="H26">
        <v>8</v>
      </c>
      <c r="I26">
        <v>8</v>
      </c>
      <c r="J26">
        <v>10</v>
      </c>
      <c r="K26">
        <v>10</v>
      </c>
      <c r="L26">
        <v>7</v>
      </c>
      <c r="M26">
        <v>8</v>
      </c>
      <c r="N26">
        <v>15</v>
      </c>
      <c r="O26">
        <v>20</v>
      </c>
      <c r="P26">
        <v>20</v>
      </c>
      <c r="Q26">
        <f t="shared" si="0"/>
        <v>147</v>
      </c>
      <c r="R26">
        <f t="shared" si="1"/>
        <v>11.307692307692308</v>
      </c>
      <c r="S26">
        <f t="shared" si="2"/>
        <v>11.31</v>
      </c>
      <c r="T26" t="str">
        <f t="shared" si="3"/>
        <v>11.31</v>
      </c>
    </row>
    <row r="27" spans="1:20" x14ac:dyDescent="0.3">
      <c r="A27" t="s">
        <v>169</v>
      </c>
      <c r="B27" t="s">
        <v>54</v>
      </c>
      <c r="C27" t="s">
        <v>55</v>
      </c>
      <c r="D27">
        <v>5</v>
      </c>
      <c r="E27">
        <v>5</v>
      </c>
      <c r="F27">
        <v>1</v>
      </c>
      <c r="G27">
        <v>15</v>
      </c>
      <c r="H27">
        <v>2</v>
      </c>
      <c r="I27">
        <v>8</v>
      </c>
      <c r="J27">
        <v>12</v>
      </c>
      <c r="K27">
        <v>7</v>
      </c>
      <c r="L27">
        <v>3</v>
      </c>
      <c r="M27">
        <v>13</v>
      </c>
      <c r="N27">
        <v>15</v>
      </c>
      <c r="O27">
        <v>16</v>
      </c>
      <c r="P27">
        <v>16</v>
      </c>
      <c r="Q27">
        <f t="shared" si="0"/>
        <v>118</v>
      </c>
      <c r="R27">
        <f t="shared" si="1"/>
        <v>9.0769230769230766</v>
      </c>
      <c r="S27">
        <f t="shared" si="2"/>
        <v>9.08</v>
      </c>
      <c r="T27" t="str">
        <f t="shared" si="3"/>
        <v>9.08</v>
      </c>
    </row>
    <row r="28" spans="1:20" x14ac:dyDescent="0.3">
      <c r="A28" t="s">
        <v>169</v>
      </c>
      <c r="B28" t="s">
        <v>56</v>
      </c>
      <c r="C28" t="s">
        <v>57</v>
      </c>
      <c r="D28">
        <v>17</v>
      </c>
      <c r="E28">
        <v>14</v>
      </c>
      <c r="F28">
        <v>18</v>
      </c>
      <c r="G28">
        <v>20</v>
      </c>
      <c r="H28">
        <v>11</v>
      </c>
      <c r="I28">
        <v>12</v>
      </c>
      <c r="J28">
        <v>5</v>
      </c>
      <c r="K28">
        <v>15</v>
      </c>
      <c r="L28">
        <v>11</v>
      </c>
      <c r="M28">
        <v>17</v>
      </c>
      <c r="N28">
        <v>19</v>
      </c>
      <c r="O28">
        <v>18</v>
      </c>
      <c r="P28">
        <v>19</v>
      </c>
      <c r="Q28">
        <f t="shared" si="0"/>
        <v>196</v>
      </c>
      <c r="R28">
        <f t="shared" si="1"/>
        <v>15.076923076923077</v>
      </c>
      <c r="S28">
        <f t="shared" si="2"/>
        <v>15.08</v>
      </c>
      <c r="T28" t="str">
        <f t="shared" si="3"/>
        <v>15.08</v>
      </c>
    </row>
    <row r="29" spans="1:20" x14ac:dyDescent="0.3">
      <c r="A29" t="s">
        <v>169</v>
      </c>
      <c r="B29" t="s">
        <v>50</v>
      </c>
      <c r="C29" t="s">
        <v>58</v>
      </c>
      <c r="D29">
        <v>16</v>
      </c>
      <c r="E29">
        <v>16</v>
      </c>
      <c r="F29">
        <v>17</v>
      </c>
      <c r="G29">
        <v>17</v>
      </c>
      <c r="H29">
        <v>14</v>
      </c>
      <c r="I29">
        <v>14</v>
      </c>
      <c r="J29">
        <v>14</v>
      </c>
      <c r="K29">
        <v>15</v>
      </c>
      <c r="L29">
        <v>13</v>
      </c>
      <c r="M29">
        <v>20</v>
      </c>
      <c r="N29">
        <v>19</v>
      </c>
      <c r="O29">
        <v>20</v>
      </c>
      <c r="P29">
        <v>20</v>
      </c>
      <c r="Q29">
        <f t="shared" si="0"/>
        <v>215</v>
      </c>
      <c r="R29">
        <f t="shared" si="1"/>
        <v>16.53846153846154</v>
      </c>
      <c r="S29">
        <f t="shared" si="2"/>
        <v>16.540000000000003</v>
      </c>
      <c r="T29" t="str">
        <f t="shared" si="3"/>
        <v>16.54</v>
      </c>
    </row>
    <row r="30" spans="1:20" x14ac:dyDescent="0.3">
      <c r="A30" t="s">
        <v>169</v>
      </c>
      <c r="B30" t="s">
        <v>59</v>
      </c>
      <c r="C30" t="s">
        <v>60</v>
      </c>
      <c r="D30">
        <v>18</v>
      </c>
      <c r="E30">
        <v>13</v>
      </c>
      <c r="F30">
        <v>18</v>
      </c>
      <c r="G30">
        <v>20</v>
      </c>
      <c r="H30">
        <v>18</v>
      </c>
      <c r="I30">
        <v>20</v>
      </c>
      <c r="J30">
        <v>17</v>
      </c>
      <c r="K30">
        <v>17</v>
      </c>
      <c r="L30">
        <v>17</v>
      </c>
      <c r="M30">
        <v>20</v>
      </c>
      <c r="N30">
        <v>20</v>
      </c>
      <c r="O30">
        <v>20</v>
      </c>
      <c r="P30">
        <v>20</v>
      </c>
      <c r="Q30">
        <f t="shared" si="0"/>
        <v>238</v>
      </c>
      <c r="R30">
        <f t="shared" si="1"/>
        <v>18.307692307692307</v>
      </c>
      <c r="S30">
        <f t="shared" si="2"/>
        <v>18.310000000000002</v>
      </c>
      <c r="T30" t="str">
        <f t="shared" si="3"/>
        <v>18.31</v>
      </c>
    </row>
    <row r="31" spans="1:20" x14ac:dyDescent="0.3">
      <c r="A31" t="s">
        <v>169</v>
      </c>
      <c r="B31" t="s">
        <v>39</v>
      </c>
      <c r="C31" t="s">
        <v>61</v>
      </c>
      <c r="D31">
        <v>20</v>
      </c>
      <c r="E31">
        <v>20</v>
      </c>
      <c r="F31">
        <v>19</v>
      </c>
      <c r="G31">
        <v>20</v>
      </c>
      <c r="H31">
        <v>19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f t="shared" si="0"/>
        <v>258</v>
      </c>
      <c r="R31">
        <f t="shared" si="1"/>
        <v>19.846153846153847</v>
      </c>
      <c r="S31">
        <f t="shared" si="2"/>
        <v>19.850000000000001</v>
      </c>
      <c r="T31" t="str">
        <f t="shared" si="3"/>
        <v>19.85</v>
      </c>
    </row>
    <row r="32" spans="1:20" x14ac:dyDescent="0.3">
      <c r="A32" t="s">
        <v>169</v>
      </c>
      <c r="B32" t="s">
        <v>62</v>
      </c>
      <c r="C32" t="s">
        <v>63</v>
      </c>
      <c r="D32">
        <v>18</v>
      </c>
      <c r="E32">
        <v>20</v>
      </c>
      <c r="F32">
        <v>19</v>
      </c>
      <c r="G32">
        <v>18</v>
      </c>
      <c r="H32">
        <v>12</v>
      </c>
      <c r="I32">
        <v>20</v>
      </c>
      <c r="J32">
        <v>15</v>
      </c>
      <c r="K32">
        <v>18</v>
      </c>
      <c r="L32">
        <v>15</v>
      </c>
      <c r="M32">
        <v>20</v>
      </c>
      <c r="N32">
        <v>19</v>
      </c>
      <c r="O32">
        <v>20</v>
      </c>
      <c r="P32">
        <v>20</v>
      </c>
      <c r="Q32">
        <f t="shared" si="0"/>
        <v>234</v>
      </c>
      <c r="R32">
        <f t="shared" si="1"/>
        <v>18</v>
      </c>
      <c r="S32">
        <f t="shared" si="2"/>
        <v>18</v>
      </c>
      <c r="T32" t="str">
        <f t="shared" si="3"/>
        <v>18.00</v>
      </c>
    </row>
    <row r="33" spans="1:20" x14ac:dyDescent="0.3">
      <c r="A33" t="s">
        <v>169</v>
      </c>
      <c r="B33" t="s">
        <v>64</v>
      </c>
      <c r="C33" t="s">
        <v>65</v>
      </c>
      <c r="D33">
        <v>20</v>
      </c>
      <c r="E33">
        <v>20</v>
      </c>
      <c r="F33">
        <v>18</v>
      </c>
      <c r="G33">
        <v>20</v>
      </c>
      <c r="H33">
        <v>18</v>
      </c>
      <c r="I33">
        <v>19</v>
      </c>
      <c r="J33">
        <v>18</v>
      </c>
      <c r="K33">
        <v>16</v>
      </c>
      <c r="L33">
        <v>19</v>
      </c>
      <c r="M33">
        <v>20</v>
      </c>
      <c r="N33">
        <v>20</v>
      </c>
      <c r="O33">
        <v>20</v>
      </c>
      <c r="P33">
        <v>20</v>
      </c>
      <c r="Q33">
        <f t="shared" si="0"/>
        <v>248</v>
      </c>
      <c r="R33">
        <f t="shared" si="1"/>
        <v>19.076923076923077</v>
      </c>
      <c r="S33">
        <f t="shared" si="2"/>
        <v>19.080000000000002</v>
      </c>
      <c r="T33" t="str">
        <f t="shared" si="3"/>
        <v>19.08</v>
      </c>
    </row>
    <row r="34" spans="1:20" x14ac:dyDescent="0.3">
      <c r="A34" t="s">
        <v>169</v>
      </c>
      <c r="B34" t="s">
        <v>66</v>
      </c>
      <c r="C34" t="s">
        <v>67</v>
      </c>
      <c r="D34">
        <v>0</v>
      </c>
      <c r="E34">
        <v>20</v>
      </c>
      <c r="F34">
        <v>18</v>
      </c>
      <c r="G34">
        <v>20</v>
      </c>
      <c r="H34">
        <v>18</v>
      </c>
      <c r="I34">
        <v>20</v>
      </c>
      <c r="J34">
        <v>18</v>
      </c>
      <c r="K34">
        <v>16</v>
      </c>
      <c r="L34">
        <v>17</v>
      </c>
      <c r="M34">
        <v>20</v>
      </c>
      <c r="N34">
        <v>20</v>
      </c>
      <c r="O34">
        <v>20</v>
      </c>
      <c r="P34">
        <v>20</v>
      </c>
      <c r="Q34">
        <f t="shared" si="0"/>
        <v>227</v>
      </c>
      <c r="R34">
        <f t="shared" si="1"/>
        <v>17.46153846153846</v>
      </c>
      <c r="S34">
        <f t="shared" si="2"/>
        <v>17.470000000000002</v>
      </c>
      <c r="T34" t="str">
        <f t="shared" si="3"/>
        <v>17.47</v>
      </c>
    </row>
    <row r="35" spans="1:20" x14ac:dyDescent="0.3">
      <c r="A35" t="s">
        <v>169</v>
      </c>
      <c r="B35" t="s">
        <v>68</v>
      </c>
      <c r="C35" t="s">
        <v>31</v>
      </c>
      <c r="D35">
        <v>20</v>
      </c>
      <c r="E35">
        <v>20</v>
      </c>
      <c r="F35">
        <v>20</v>
      </c>
      <c r="G35">
        <v>20</v>
      </c>
      <c r="H35">
        <v>20</v>
      </c>
      <c r="I35">
        <v>20</v>
      </c>
      <c r="J35">
        <v>19</v>
      </c>
      <c r="K35">
        <v>20</v>
      </c>
      <c r="L35">
        <v>19</v>
      </c>
      <c r="M35">
        <v>20</v>
      </c>
      <c r="N35">
        <v>20</v>
      </c>
      <c r="O35">
        <v>20</v>
      </c>
      <c r="P35">
        <v>20</v>
      </c>
      <c r="Q35">
        <f t="shared" si="0"/>
        <v>258</v>
      </c>
      <c r="R35">
        <f t="shared" si="1"/>
        <v>19.846153846153847</v>
      </c>
      <c r="S35">
        <f t="shared" si="2"/>
        <v>19.850000000000001</v>
      </c>
      <c r="T35" t="str">
        <f t="shared" si="3"/>
        <v>19.85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7DD1-6689-4DEA-95C9-72DA58A09D48}">
  <sheetPr codeName="Sheet2"/>
  <dimension ref="A1:T34"/>
  <sheetViews>
    <sheetView rightToLeft="1" workbookViewId="0">
      <selection activeCell="U1" sqref="U1:U1048576"/>
    </sheetView>
  </sheetViews>
  <sheetFormatPr defaultRowHeight="14.4" x14ac:dyDescent="0.3"/>
  <cols>
    <col min="1" max="1" width="6.88671875" bestFit="1" customWidth="1"/>
    <col min="2" max="2" width="7.77734375" bestFit="1" customWidth="1"/>
    <col min="3" max="3" width="10" bestFit="1" customWidth="1"/>
    <col min="4" max="4" width="4" bestFit="1" customWidth="1"/>
    <col min="5" max="5" width="3.77734375" bestFit="1" customWidth="1"/>
    <col min="6" max="7" width="3.44140625" bestFit="1" customWidth="1"/>
    <col min="8" max="8" width="4.88671875" bestFit="1" customWidth="1"/>
    <col min="9" max="9" width="4.6640625" bestFit="1" customWidth="1"/>
    <col min="10" max="10" width="3.88671875" bestFit="1" customWidth="1"/>
    <col min="11" max="11" width="4" bestFit="1" customWidth="1"/>
    <col min="12" max="12" width="5.77734375" bestFit="1" customWidth="1"/>
    <col min="13" max="13" width="6.44140625" bestFit="1" customWidth="1"/>
    <col min="14" max="14" width="4" bestFit="1" customWidth="1"/>
    <col min="15" max="15" width="3.33203125" bestFit="1" customWidth="1"/>
    <col min="16" max="16" width="4.44140625" bestFit="1" customWidth="1"/>
    <col min="17" max="17" width="4" bestFit="1" customWidth="1"/>
    <col min="18" max="18" width="12" bestFit="1" customWidth="1"/>
    <col min="19" max="19" width="6" bestFit="1" customWidth="1"/>
    <col min="20" max="20" width="5.5546875" bestFit="1" customWidth="1"/>
    <col min="21" max="21" width="21.77734375" bestFit="1" customWidth="1"/>
  </cols>
  <sheetData>
    <row r="1" spans="1:20" x14ac:dyDescent="0.3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174</v>
      </c>
      <c r="G1" t="s">
        <v>175</v>
      </c>
      <c r="H1" t="s">
        <v>176</v>
      </c>
      <c r="I1" t="s">
        <v>4</v>
      </c>
      <c r="J1" t="s">
        <v>177</v>
      </c>
      <c r="K1" t="s">
        <v>5</v>
      </c>
      <c r="L1" t="s">
        <v>6</v>
      </c>
      <c r="M1" t="s">
        <v>7</v>
      </c>
      <c r="N1" t="s">
        <v>178</v>
      </c>
      <c r="O1" t="s">
        <v>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</row>
    <row r="2" spans="1:20" x14ac:dyDescent="0.3">
      <c r="A2" t="s">
        <v>170</v>
      </c>
      <c r="B2" t="s">
        <v>69</v>
      </c>
      <c r="C2" t="s">
        <v>70</v>
      </c>
      <c r="D2">
        <v>17</v>
      </c>
      <c r="E2">
        <v>10</v>
      </c>
      <c r="F2">
        <v>16</v>
      </c>
      <c r="G2">
        <v>19</v>
      </c>
      <c r="H2">
        <v>11</v>
      </c>
      <c r="I2">
        <v>6</v>
      </c>
      <c r="J2">
        <v>20</v>
      </c>
      <c r="K2">
        <v>10</v>
      </c>
      <c r="L2">
        <v>3</v>
      </c>
      <c r="M2">
        <v>7</v>
      </c>
      <c r="N2">
        <v>16</v>
      </c>
      <c r="O2">
        <v>16</v>
      </c>
      <c r="P2">
        <v>16</v>
      </c>
      <c r="Q2">
        <f>SUM(D2:P2)</f>
        <v>167</v>
      </c>
      <c r="R2">
        <f>Q2/13</f>
        <v>12.846153846153847</v>
      </c>
      <c r="S2">
        <f>ROUNDUP(R2,2)</f>
        <v>12.85</v>
      </c>
      <c r="T2" t="str">
        <f>TEXT(S2,"0.00")</f>
        <v>12.85</v>
      </c>
    </row>
    <row r="3" spans="1:20" x14ac:dyDescent="0.3">
      <c r="A3" t="s">
        <v>170</v>
      </c>
      <c r="B3" t="s">
        <v>17</v>
      </c>
      <c r="C3" t="s">
        <v>71</v>
      </c>
      <c r="D3">
        <v>16</v>
      </c>
      <c r="E3">
        <v>20</v>
      </c>
      <c r="F3">
        <v>18</v>
      </c>
      <c r="G3">
        <v>20</v>
      </c>
      <c r="H3">
        <v>19</v>
      </c>
      <c r="I3">
        <v>19</v>
      </c>
      <c r="J3">
        <v>20</v>
      </c>
      <c r="K3">
        <v>16</v>
      </c>
      <c r="L3">
        <v>17</v>
      </c>
      <c r="M3">
        <v>20</v>
      </c>
      <c r="N3">
        <v>19</v>
      </c>
      <c r="O3">
        <v>20</v>
      </c>
      <c r="P3">
        <v>20</v>
      </c>
      <c r="Q3">
        <f t="shared" ref="Q3:Q34" si="0">SUM(D3:P3)</f>
        <v>244</v>
      </c>
      <c r="R3">
        <f t="shared" ref="R3:R34" si="1">Q3/13</f>
        <v>18.76923076923077</v>
      </c>
      <c r="S3">
        <f t="shared" ref="S3:S34" si="2">ROUNDUP(R3,2)</f>
        <v>18.770000000000003</v>
      </c>
      <c r="T3" t="str">
        <f t="shared" ref="T3:T34" si="3">TEXT(S3,"0.00")</f>
        <v>18.77</v>
      </c>
    </row>
    <row r="4" spans="1:20" x14ac:dyDescent="0.3">
      <c r="A4" t="s">
        <v>170</v>
      </c>
      <c r="B4" t="s">
        <v>72</v>
      </c>
      <c r="C4" t="s">
        <v>44</v>
      </c>
      <c r="D4">
        <v>20</v>
      </c>
      <c r="E4">
        <v>20</v>
      </c>
      <c r="F4">
        <v>20</v>
      </c>
      <c r="G4">
        <v>20</v>
      </c>
      <c r="H4">
        <v>19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f t="shared" si="0"/>
        <v>259</v>
      </c>
      <c r="R4">
        <f t="shared" si="1"/>
        <v>19.923076923076923</v>
      </c>
      <c r="S4">
        <f t="shared" si="2"/>
        <v>19.930000000000003</v>
      </c>
      <c r="T4" t="str">
        <f t="shared" si="3"/>
        <v>19.93</v>
      </c>
    </row>
    <row r="5" spans="1:20" x14ac:dyDescent="0.3">
      <c r="A5" t="s">
        <v>170</v>
      </c>
      <c r="B5" t="s">
        <v>73</v>
      </c>
      <c r="C5" t="s">
        <v>74</v>
      </c>
      <c r="D5">
        <v>0</v>
      </c>
      <c r="E5">
        <v>1</v>
      </c>
      <c r="F5">
        <v>0</v>
      </c>
      <c r="G5">
        <v>19</v>
      </c>
      <c r="H5">
        <v>0</v>
      </c>
      <c r="I5">
        <v>6</v>
      </c>
      <c r="J5">
        <v>0</v>
      </c>
      <c r="K5">
        <v>0</v>
      </c>
      <c r="L5">
        <v>3</v>
      </c>
      <c r="M5">
        <v>7</v>
      </c>
      <c r="N5">
        <v>15</v>
      </c>
      <c r="O5">
        <v>16</v>
      </c>
      <c r="P5">
        <v>16</v>
      </c>
      <c r="Q5">
        <f t="shared" si="0"/>
        <v>83</v>
      </c>
      <c r="R5">
        <f t="shared" si="1"/>
        <v>6.384615384615385</v>
      </c>
      <c r="S5">
        <f t="shared" si="2"/>
        <v>6.39</v>
      </c>
      <c r="T5" t="str">
        <f t="shared" si="3"/>
        <v>6.39</v>
      </c>
    </row>
    <row r="6" spans="1:20" x14ac:dyDescent="0.3">
      <c r="A6" t="s">
        <v>170</v>
      </c>
      <c r="B6" t="s">
        <v>75</v>
      </c>
      <c r="C6" t="s">
        <v>76</v>
      </c>
      <c r="D6">
        <v>20</v>
      </c>
      <c r="E6">
        <v>20</v>
      </c>
      <c r="F6">
        <v>19</v>
      </c>
      <c r="G6">
        <v>20</v>
      </c>
      <c r="H6">
        <v>18</v>
      </c>
      <c r="I6">
        <v>18</v>
      </c>
      <c r="J6">
        <v>20</v>
      </c>
      <c r="K6">
        <v>14</v>
      </c>
      <c r="L6">
        <v>8</v>
      </c>
      <c r="M6">
        <v>17</v>
      </c>
      <c r="N6">
        <v>19</v>
      </c>
      <c r="O6">
        <v>20</v>
      </c>
      <c r="P6">
        <v>19</v>
      </c>
      <c r="Q6">
        <f t="shared" si="0"/>
        <v>232</v>
      </c>
      <c r="R6">
        <f t="shared" si="1"/>
        <v>17.846153846153847</v>
      </c>
      <c r="S6">
        <f t="shared" si="2"/>
        <v>17.850000000000001</v>
      </c>
      <c r="T6" t="str">
        <f t="shared" si="3"/>
        <v>17.85</v>
      </c>
    </row>
    <row r="7" spans="1:20" x14ac:dyDescent="0.3">
      <c r="A7" t="s">
        <v>170</v>
      </c>
      <c r="B7" t="s">
        <v>77</v>
      </c>
      <c r="C7" t="s">
        <v>78</v>
      </c>
      <c r="D7">
        <v>15</v>
      </c>
      <c r="E7">
        <v>20</v>
      </c>
      <c r="F7">
        <v>14</v>
      </c>
      <c r="G7">
        <v>18</v>
      </c>
      <c r="H7">
        <v>16</v>
      </c>
      <c r="I7">
        <v>14</v>
      </c>
      <c r="J7">
        <v>20</v>
      </c>
      <c r="K7">
        <v>16</v>
      </c>
      <c r="L7">
        <v>11</v>
      </c>
      <c r="M7">
        <v>20</v>
      </c>
      <c r="N7">
        <v>19</v>
      </c>
      <c r="O7">
        <v>20</v>
      </c>
      <c r="P7">
        <v>20</v>
      </c>
      <c r="Q7">
        <f t="shared" si="0"/>
        <v>223</v>
      </c>
      <c r="R7">
        <f t="shared" si="1"/>
        <v>17.153846153846153</v>
      </c>
      <c r="S7">
        <f t="shared" si="2"/>
        <v>17.16</v>
      </c>
      <c r="T7" t="str">
        <f t="shared" si="3"/>
        <v>17.16</v>
      </c>
    </row>
    <row r="8" spans="1:20" x14ac:dyDescent="0.3">
      <c r="A8" t="s">
        <v>170</v>
      </c>
      <c r="B8" t="s">
        <v>13</v>
      </c>
      <c r="C8" t="s">
        <v>79</v>
      </c>
      <c r="D8">
        <v>18</v>
      </c>
      <c r="E8">
        <v>20</v>
      </c>
      <c r="F8">
        <v>19</v>
      </c>
      <c r="G8">
        <v>19</v>
      </c>
      <c r="H8">
        <v>12</v>
      </c>
      <c r="I8">
        <v>11</v>
      </c>
      <c r="J8">
        <v>17</v>
      </c>
      <c r="K8">
        <v>11</v>
      </c>
      <c r="L8">
        <v>7</v>
      </c>
      <c r="M8">
        <v>18</v>
      </c>
      <c r="N8">
        <v>19</v>
      </c>
      <c r="O8">
        <v>19</v>
      </c>
      <c r="P8">
        <v>19</v>
      </c>
      <c r="Q8">
        <f t="shared" si="0"/>
        <v>209</v>
      </c>
      <c r="R8">
        <f t="shared" si="1"/>
        <v>16.076923076923077</v>
      </c>
      <c r="S8">
        <f t="shared" si="2"/>
        <v>16.080000000000002</v>
      </c>
      <c r="T8" t="str">
        <f t="shared" si="3"/>
        <v>16.08</v>
      </c>
    </row>
    <row r="9" spans="1:20" x14ac:dyDescent="0.3">
      <c r="A9" t="s">
        <v>170</v>
      </c>
      <c r="B9" t="s">
        <v>9</v>
      </c>
      <c r="C9" t="s">
        <v>80</v>
      </c>
      <c r="D9">
        <v>13</v>
      </c>
      <c r="E9">
        <v>18</v>
      </c>
      <c r="F9">
        <v>20</v>
      </c>
      <c r="G9">
        <v>20</v>
      </c>
      <c r="H9">
        <v>12</v>
      </c>
      <c r="I9">
        <v>10</v>
      </c>
      <c r="J9">
        <v>0</v>
      </c>
      <c r="K9">
        <v>10</v>
      </c>
      <c r="L9">
        <v>5</v>
      </c>
      <c r="M9">
        <v>12</v>
      </c>
      <c r="N9">
        <v>19</v>
      </c>
      <c r="O9">
        <v>20</v>
      </c>
      <c r="P9">
        <v>20</v>
      </c>
      <c r="Q9">
        <f t="shared" si="0"/>
        <v>179</v>
      </c>
      <c r="R9">
        <f t="shared" si="1"/>
        <v>13.76923076923077</v>
      </c>
      <c r="S9">
        <f t="shared" si="2"/>
        <v>13.77</v>
      </c>
      <c r="T9" t="str">
        <f t="shared" si="3"/>
        <v>13.77</v>
      </c>
    </row>
    <row r="10" spans="1:20" x14ac:dyDescent="0.3">
      <c r="A10" t="s">
        <v>170</v>
      </c>
      <c r="B10" t="s">
        <v>81</v>
      </c>
      <c r="C10" t="s">
        <v>82</v>
      </c>
      <c r="D10">
        <v>12</v>
      </c>
      <c r="E10">
        <v>20</v>
      </c>
      <c r="F10">
        <v>16</v>
      </c>
      <c r="G10">
        <v>19</v>
      </c>
      <c r="H10">
        <v>12</v>
      </c>
      <c r="I10">
        <v>0</v>
      </c>
      <c r="J10">
        <v>10</v>
      </c>
      <c r="K10">
        <v>9</v>
      </c>
      <c r="L10">
        <v>6</v>
      </c>
      <c r="M10">
        <v>0</v>
      </c>
      <c r="N10">
        <v>18</v>
      </c>
      <c r="O10">
        <v>20</v>
      </c>
      <c r="P10">
        <v>18</v>
      </c>
      <c r="Q10">
        <f t="shared" si="0"/>
        <v>160</v>
      </c>
      <c r="R10">
        <f t="shared" si="1"/>
        <v>12.307692307692308</v>
      </c>
      <c r="S10">
        <f t="shared" si="2"/>
        <v>12.31</v>
      </c>
      <c r="T10" t="str">
        <f t="shared" si="3"/>
        <v>12.31</v>
      </c>
    </row>
    <row r="11" spans="1:20" x14ac:dyDescent="0.3">
      <c r="A11" t="s">
        <v>170</v>
      </c>
      <c r="B11" t="s">
        <v>83</v>
      </c>
      <c r="C11" t="s">
        <v>84</v>
      </c>
      <c r="D11">
        <v>20</v>
      </c>
      <c r="E11">
        <v>20</v>
      </c>
      <c r="F11">
        <v>20</v>
      </c>
      <c r="G11">
        <v>20</v>
      </c>
      <c r="H11">
        <v>17</v>
      </c>
      <c r="I11">
        <v>20</v>
      </c>
      <c r="J11">
        <v>20</v>
      </c>
      <c r="K11">
        <v>18</v>
      </c>
      <c r="L11">
        <v>16</v>
      </c>
      <c r="M11">
        <v>20</v>
      </c>
      <c r="N11">
        <v>20</v>
      </c>
      <c r="O11">
        <v>20</v>
      </c>
      <c r="P11">
        <v>20</v>
      </c>
      <c r="Q11">
        <f t="shared" si="0"/>
        <v>251</v>
      </c>
      <c r="R11">
        <f t="shared" si="1"/>
        <v>19.307692307692307</v>
      </c>
      <c r="S11">
        <f t="shared" si="2"/>
        <v>19.310000000000002</v>
      </c>
      <c r="T11" t="str">
        <f t="shared" si="3"/>
        <v>19.31</v>
      </c>
    </row>
    <row r="12" spans="1:20" x14ac:dyDescent="0.3">
      <c r="A12" t="s">
        <v>170</v>
      </c>
      <c r="B12" t="s">
        <v>85</v>
      </c>
      <c r="C12" t="s">
        <v>86</v>
      </c>
      <c r="D12">
        <v>20</v>
      </c>
      <c r="E12">
        <v>20</v>
      </c>
      <c r="F12">
        <v>18</v>
      </c>
      <c r="G12">
        <v>20</v>
      </c>
      <c r="H12">
        <v>17</v>
      </c>
      <c r="I12">
        <v>13</v>
      </c>
      <c r="J12">
        <v>19</v>
      </c>
      <c r="K12">
        <v>18</v>
      </c>
      <c r="L12">
        <v>16</v>
      </c>
      <c r="M12">
        <v>20</v>
      </c>
      <c r="N12">
        <v>19</v>
      </c>
      <c r="O12">
        <v>20</v>
      </c>
      <c r="P12">
        <v>20</v>
      </c>
      <c r="Q12">
        <f t="shared" si="0"/>
        <v>240</v>
      </c>
      <c r="R12">
        <f t="shared" si="1"/>
        <v>18.46153846153846</v>
      </c>
      <c r="S12">
        <f t="shared" si="2"/>
        <v>18.470000000000002</v>
      </c>
      <c r="T12" t="str">
        <f t="shared" si="3"/>
        <v>18.47</v>
      </c>
    </row>
    <row r="13" spans="1:20" x14ac:dyDescent="0.3">
      <c r="A13" t="s">
        <v>170</v>
      </c>
      <c r="B13" t="s">
        <v>87</v>
      </c>
      <c r="C13" t="s">
        <v>88</v>
      </c>
      <c r="D13">
        <v>17</v>
      </c>
      <c r="E13">
        <v>20</v>
      </c>
      <c r="F13">
        <v>19</v>
      </c>
      <c r="G13">
        <v>20</v>
      </c>
      <c r="H13">
        <v>17</v>
      </c>
      <c r="I13">
        <v>11</v>
      </c>
      <c r="J13">
        <v>18</v>
      </c>
      <c r="K13">
        <v>11</v>
      </c>
      <c r="L13">
        <v>11</v>
      </c>
      <c r="M13">
        <v>20</v>
      </c>
      <c r="N13">
        <v>20</v>
      </c>
      <c r="O13">
        <v>20</v>
      </c>
      <c r="P13">
        <v>20</v>
      </c>
      <c r="Q13">
        <f t="shared" si="0"/>
        <v>224</v>
      </c>
      <c r="R13">
        <f t="shared" si="1"/>
        <v>17.23076923076923</v>
      </c>
      <c r="S13">
        <f t="shared" si="2"/>
        <v>17.240000000000002</v>
      </c>
      <c r="T13" t="str">
        <f t="shared" si="3"/>
        <v>17.24</v>
      </c>
    </row>
    <row r="14" spans="1:20" x14ac:dyDescent="0.3">
      <c r="A14" t="s">
        <v>170</v>
      </c>
      <c r="B14" t="s">
        <v>89</v>
      </c>
      <c r="C14" t="s">
        <v>90</v>
      </c>
      <c r="D14">
        <v>6</v>
      </c>
      <c r="E14">
        <v>15</v>
      </c>
      <c r="F14">
        <v>1</v>
      </c>
      <c r="G14">
        <v>15</v>
      </c>
      <c r="H14">
        <v>11</v>
      </c>
      <c r="I14">
        <v>6</v>
      </c>
      <c r="J14">
        <v>3</v>
      </c>
      <c r="K14">
        <v>6</v>
      </c>
      <c r="L14">
        <v>2</v>
      </c>
      <c r="M14">
        <v>10</v>
      </c>
      <c r="N14">
        <v>15</v>
      </c>
      <c r="O14">
        <v>18</v>
      </c>
      <c r="P14">
        <v>18</v>
      </c>
      <c r="Q14">
        <f t="shared" si="0"/>
        <v>126</v>
      </c>
      <c r="R14">
        <f t="shared" si="1"/>
        <v>9.6923076923076916</v>
      </c>
      <c r="S14">
        <f t="shared" si="2"/>
        <v>9.6999999999999993</v>
      </c>
      <c r="T14" t="str">
        <f t="shared" si="3"/>
        <v>9.70</v>
      </c>
    </row>
    <row r="15" spans="1:20" x14ac:dyDescent="0.3">
      <c r="A15" t="s">
        <v>170</v>
      </c>
      <c r="B15" t="s">
        <v>91</v>
      </c>
      <c r="C15" t="s">
        <v>92</v>
      </c>
      <c r="D15">
        <v>20</v>
      </c>
      <c r="E15">
        <v>20</v>
      </c>
      <c r="F15">
        <v>20</v>
      </c>
      <c r="G15">
        <v>20</v>
      </c>
      <c r="H15">
        <v>20</v>
      </c>
      <c r="I15">
        <v>20</v>
      </c>
      <c r="J15">
        <v>18</v>
      </c>
      <c r="K15">
        <v>18</v>
      </c>
      <c r="L15">
        <v>12</v>
      </c>
      <c r="M15">
        <v>20</v>
      </c>
      <c r="N15">
        <v>20</v>
      </c>
      <c r="O15">
        <v>20</v>
      </c>
      <c r="P15">
        <v>20</v>
      </c>
      <c r="Q15">
        <f t="shared" si="0"/>
        <v>248</v>
      </c>
      <c r="R15">
        <f t="shared" si="1"/>
        <v>19.076923076923077</v>
      </c>
      <c r="S15">
        <f t="shared" si="2"/>
        <v>19.080000000000002</v>
      </c>
      <c r="T15" t="str">
        <f t="shared" si="3"/>
        <v>19.08</v>
      </c>
    </row>
    <row r="16" spans="1:20" x14ac:dyDescent="0.3">
      <c r="A16" t="s">
        <v>170</v>
      </c>
      <c r="B16" t="s">
        <v>33</v>
      </c>
      <c r="C16" t="s">
        <v>93</v>
      </c>
      <c r="D16">
        <v>20</v>
      </c>
      <c r="E16">
        <v>20</v>
      </c>
      <c r="F16">
        <v>19</v>
      </c>
      <c r="G16">
        <v>20</v>
      </c>
      <c r="H16">
        <v>17</v>
      </c>
      <c r="I16">
        <v>17</v>
      </c>
      <c r="J16">
        <v>20</v>
      </c>
      <c r="K16">
        <v>14</v>
      </c>
      <c r="L16">
        <v>12</v>
      </c>
      <c r="M16">
        <v>12</v>
      </c>
      <c r="N16">
        <v>19</v>
      </c>
      <c r="O16">
        <v>20</v>
      </c>
      <c r="P16">
        <v>19</v>
      </c>
      <c r="Q16">
        <f t="shared" si="0"/>
        <v>229</v>
      </c>
      <c r="R16">
        <f t="shared" si="1"/>
        <v>17.615384615384617</v>
      </c>
      <c r="S16">
        <f t="shared" si="2"/>
        <v>17.62</v>
      </c>
      <c r="T16" t="str">
        <f t="shared" si="3"/>
        <v>17.62</v>
      </c>
    </row>
    <row r="17" spans="1:20" x14ac:dyDescent="0.3">
      <c r="A17" t="s">
        <v>170</v>
      </c>
      <c r="B17" t="s">
        <v>94</v>
      </c>
      <c r="C17" t="s">
        <v>95</v>
      </c>
      <c r="D17">
        <v>20</v>
      </c>
      <c r="E17">
        <v>20</v>
      </c>
      <c r="F17">
        <v>19</v>
      </c>
      <c r="G17">
        <v>20</v>
      </c>
      <c r="H17">
        <v>17</v>
      </c>
      <c r="I17">
        <v>18</v>
      </c>
      <c r="J17">
        <v>19</v>
      </c>
      <c r="K17">
        <v>13</v>
      </c>
      <c r="L17">
        <v>7</v>
      </c>
      <c r="M17">
        <v>20</v>
      </c>
      <c r="N17">
        <v>19</v>
      </c>
      <c r="O17">
        <v>20</v>
      </c>
      <c r="P17">
        <v>20</v>
      </c>
      <c r="Q17">
        <f t="shared" si="0"/>
        <v>232</v>
      </c>
      <c r="R17">
        <f t="shared" si="1"/>
        <v>17.846153846153847</v>
      </c>
      <c r="S17">
        <f t="shared" si="2"/>
        <v>17.850000000000001</v>
      </c>
      <c r="T17" t="str">
        <f t="shared" si="3"/>
        <v>17.85</v>
      </c>
    </row>
    <row r="18" spans="1:20" x14ac:dyDescent="0.3">
      <c r="A18" t="s">
        <v>170</v>
      </c>
      <c r="B18" t="s">
        <v>96</v>
      </c>
      <c r="C18" t="s">
        <v>97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</v>
      </c>
      <c r="O18">
        <v>0</v>
      </c>
      <c r="P18">
        <v>0</v>
      </c>
      <c r="Q18">
        <f t="shared" si="0"/>
        <v>17</v>
      </c>
      <c r="R18">
        <f t="shared" si="1"/>
        <v>1.3076923076923077</v>
      </c>
      <c r="S18">
        <f t="shared" si="2"/>
        <v>1.31</v>
      </c>
      <c r="T18" t="str">
        <f t="shared" si="3"/>
        <v>1.31</v>
      </c>
    </row>
    <row r="19" spans="1:20" x14ac:dyDescent="0.3">
      <c r="A19" t="s">
        <v>171</v>
      </c>
      <c r="B19" t="s">
        <v>98</v>
      </c>
      <c r="C19" t="s">
        <v>70</v>
      </c>
      <c r="D19">
        <v>17</v>
      </c>
      <c r="E19">
        <v>20</v>
      </c>
      <c r="F19">
        <v>18</v>
      </c>
      <c r="G19">
        <v>19</v>
      </c>
      <c r="H19">
        <v>10</v>
      </c>
      <c r="I19">
        <v>10</v>
      </c>
      <c r="J19">
        <v>20</v>
      </c>
      <c r="K19">
        <v>10</v>
      </c>
      <c r="L19">
        <v>3</v>
      </c>
      <c r="M19">
        <v>12</v>
      </c>
      <c r="N19">
        <v>19</v>
      </c>
      <c r="O19">
        <v>20</v>
      </c>
      <c r="P19">
        <v>18</v>
      </c>
      <c r="Q19">
        <f t="shared" si="0"/>
        <v>196</v>
      </c>
      <c r="R19">
        <f t="shared" si="1"/>
        <v>15.076923076923077</v>
      </c>
      <c r="S19">
        <f t="shared" si="2"/>
        <v>15.08</v>
      </c>
      <c r="T19" t="str">
        <f t="shared" si="3"/>
        <v>15.08</v>
      </c>
    </row>
    <row r="20" spans="1:20" x14ac:dyDescent="0.3">
      <c r="A20" t="s">
        <v>171</v>
      </c>
      <c r="B20" t="s">
        <v>99</v>
      </c>
      <c r="C20" t="s">
        <v>40</v>
      </c>
      <c r="D20">
        <v>18</v>
      </c>
      <c r="E20">
        <v>13</v>
      </c>
      <c r="F20">
        <v>12</v>
      </c>
      <c r="G20">
        <v>20</v>
      </c>
      <c r="H20">
        <v>6</v>
      </c>
      <c r="I20">
        <v>14</v>
      </c>
      <c r="J20">
        <v>20</v>
      </c>
      <c r="K20">
        <v>12</v>
      </c>
      <c r="L20">
        <v>11</v>
      </c>
      <c r="M20">
        <v>10</v>
      </c>
      <c r="N20">
        <v>19</v>
      </c>
      <c r="O20">
        <v>20</v>
      </c>
      <c r="P20">
        <v>20</v>
      </c>
      <c r="Q20">
        <f t="shared" si="0"/>
        <v>195</v>
      </c>
      <c r="R20">
        <f t="shared" si="1"/>
        <v>15</v>
      </c>
      <c r="S20">
        <f t="shared" si="2"/>
        <v>15</v>
      </c>
      <c r="T20" t="str">
        <f t="shared" si="3"/>
        <v>15.00</v>
      </c>
    </row>
    <row r="21" spans="1:20" x14ac:dyDescent="0.3">
      <c r="A21" t="s">
        <v>171</v>
      </c>
      <c r="B21" t="s">
        <v>100</v>
      </c>
      <c r="C21" t="s">
        <v>101</v>
      </c>
      <c r="D21">
        <v>12</v>
      </c>
      <c r="E21">
        <v>15</v>
      </c>
      <c r="F21">
        <v>16</v>
      </c>
      <c r="G21">
        <v>18</v>
      </c>
      <c r="H21">
        <v>4</v>
      </c>
      <c r="I21">
        <v>11</v>
      </c>
      <c r="J21">
        <v>0</v>
      </c>
      <c r="K21">
        <v>10</v>
      </c>
      <c r="L21">
        <v>9</v>
      </c>
      <c r="M21">
        <v>11</v>
      </c>
      <c r="N21">
        <v>18</v>
      </c>
      <c r="O21">
        <v>19</v>
      </c>
      <c r="P21">
        <v>19</v>
      </c>
      <c r="Q21">
        <f t="shared" si="0"/>
        <v>162</v>
      </c>
      <c r="R21">
        <f t="shared" si="1"/>
        <v>12.461538461538462</v>
      </c>
      <c r="S21">
        <f t="shared" si="2"/>
        <v>12.47</v>
      </c>
      <c r="T21" t="str">
        <f t="shared" si="3"/>
        <v>12.47</v>
      </c>
    </row>
    <row r="22" spans="1:20" x14ac:dyDescent="0.3">
      <c r="A22" t="s">
        <v>171</v>
      </c>
      <c r="B22" t="s">
        <v>102</v>
      </c>
      <c r="C22" t="s">
        <v>103</v>
      </c>
      <c r="D22">
        <v>17</v>
      </c>
      <c r="E22">
        <v>20</v>
      </c>
      <c r="F22">
        <v>15</v>
      </c>
      <c r="G22">
        <v>20</v>
      </c>
      <c r="H22">
        <v>11</v>
      </c>
      <c r="I22">
        <v>20</v>
      </c>
      <c r="J22">
        <v>16</v>
      </c>
      <c r="K22">
        <v>19</v>
      </c>
      <c r="L22">
        <v>14</v>
      </c>
      <c r="M22">
        <v>16</v>
      </c>
      <c r="N22">
        <v>19</v>
      </c>
      <c r="O22">
        <v>20</v>
      </c>
      <c r="P22">
        <v>20</v>
      </c>
      <c r="Q22">
        <f t="shared" si="0"/>
        <v>227</v>
      </c>
      <c r="R22">
        <f t="shared" si="1"/>
        <v>17.46153846153846</v>
      </c>
      <c r="S22">
        <f t="shared" si="2"/>
        <v>17.470000000000002</v>
      </c>
      <c r="T22" t="str">
        <f t="shared" si="3"/>
        <v>17.47</v>
      </c>
    </row>
    <row r="23" spans="1:20" x14ac:dyDescent="0.3">
      <c r="A23" t="s">
        <v>171</v>
      </c>
      <c r="B23" t="s">
        <v>21</v>
      </c>
      <c r="C23" t="s">
        <v>104</v>
      </c>
      <c r="D23">
        <v>20</v>
      </c>
      <c r="E23">
        <v>20</v>
      </c>
      <c r="F23">
        <v>20</v>
      </c>
      <c r="G23">
        <v>20</v>
      </c>
      <c r="H23">
        <v>13</v>
      </c>
      <c r="I23">
        <v>16</v>
      </c>
      <c r="J23">
        <v>20</v>
      </c>
      <c r="K23">
        <v>18</v>
      </c>
      <c r="L23">
        <v>11</v>
      </c>
      <c r="M23">
        <v>0</v>
      </c>
      <c r="N23">
        <v>20</v>
      </c>
      <c r="O23">
        <v>20</v>
      </c>
      <c r="P23">
        <v>20</v>
      </c>
      <c r="Q23">
        <f t="shared" si="0"/>
        <v>218</v>
      </c>
      <c r="R23">
        <f t="shared" si="1"/>
        <v>16.76923076923077</v>
      </c>
      <c r="S23">
        <f t="shared" si="2"/>
        <v>16.770000000000003</v>
      </c>
      <c r="T23" t="str">
        <f t="shared" si="3"/>
        <v>16.77</v>
      </c>
    </row>
    <row r="24" spans="1:20" x14ac:dyDescent="0.3">
      <c r="A24" t="s">
        <v>171</v>
      </c>
      <c r="B24" t="s">
        <v>105</v>
      </c>
      <c r="C24" t="s">
        <v>106</v>
      </c>
      <c r="D24">
        <v>19</v>
      </c>
      <c r="E24">
        <v>20</v>
      </c>
      <c r="F24">
        <v>17</v>
      </c>
      <c r="G24">
        <v>20</v>
      </c>
      <c r="H24">
        <v>8</v>
      </c>
      <c r="I24">
        <v>0</v>
      </c>
      <c r="J24">
        <v>20</v>
      </c>
      <c r="K24">
        <v>15</v>
      </c>
      <c r="L24">
        <v>13</v>
      </c>
      <c r="M24">
        <v>20</v>
      </c>
      <c r="N24">
        <v>20</v>
      </c>
      <c r="O24">
        <v>20</v>
      </c>
      <c r="P24">
        <v>20</v>
      </c>
      <c r="Q24">
        <f t="shared" si="0"/>
        <v>212</v>
      </c>
      <c r="R24">
        <f t="shared" si="1"/>
        <v>16.307692307692307</v>
      </c>
      <c r="S24">
        <f t="shared" si="2"/>
        <v>16.310000000000002</v>
      </c>
      <c r="T24" t="str">
        <f t="shared" si="3"/>
        <v>16.31</v>
      </c>
    </row>
    <row r="25" spans="1:20" x14ac:dyDescent="0.3">
      <c r="A25" t="s">
        <v>171</v>
      </c>
      <c r="B25" t="s">
        <v>107</v>
      </c>
      <c r="C25" t="s">
        <v>108</v>
      </c>
      <c r="D25">
        <v>17</v>
      </c>
      <c r="E25">
        <v>20</v>
      </c>
      <c r="F25">
        <v>18</v>
      </c>
      <c r="G25">
        <v>19</v>
      </c>
      <c r="H25">
        <v>12</v>
      </c>
      <c r="I25">
        <v>14</v>
      </c>
      <c r="J25">
        <v>19</v>
      </c>
      <c r="K25">
        <v>18</v>
      </c>
      <c r="L25">
        <v>14</v>
      </c>
      <c r="M25">
        <v>18</v>
      </c>
      <c r="N25">
        <v>20</v>
      </c>
      <c r="O25">
        <v>20</v>
      </c>
      <c r="P25">
        <v>20</v>
      </c>
      <c r="Q25">
        <f t="shared" si="0"/>
        <v>229</v>
      </c>
      <c r="R25">
        <f t="shared" si="1"/>
        <v>17.615384615384617</v>
      </c>
      <c r="S25">
        <f t="shared" si="2"/>
        <v>17.62</v>
      </c>
      <c r="T25" t="str">
        <f t="shared" si="3"/>
        <v>17.62</v>
      </c>
    </row>
    <row r="26" spans="1:20" x14ac:dyDescent="0.3">
      <c r="A26" t="s">
        <v>171</v>
      </c>
      <c r="B26" t="s">
        <v>21</v>
      </c>
      <c r="C26" t="s">
        <v>109</v>
      </c>
      <c r="D26">
        <v>20</v>
      </c>
      <c r="E26">
        <v>20</v>
      </c>
      <c r="F26">
        <v>20</v>
      </c>
      <c r="G26">
        <v>20</v>
      </c>
      <c r="H26">
        <v>15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f t="shared" si="0"/>
        <v>255</v>
      </c>
      <c r="R26">
        <f t="shared" si="1"/>
        <v>19.615384615384617</v>
      </c>
      <c r="S26">
        <f t="shared" si="2"/>
        <v>19.62</v>
      </c>
      <c r="T26" t="str">
        <f t="shared" si="3"/>
        <v>19.62</v>
      </c>
    </row>
    <row r="27" spans="1:20" x14ac:dyDescent="0.3">
      <c r="A27" t="s">
        <v>171</v>
      </c>
      <c r="B27" t="s">
        <v>110</v>
      </c>
      <c r="C27" t="s">
        <v>111</v>
      </c>
      <c r="D27">
        <v>14</v>
      </c>
      <c r="E27">
        <v>20</v>
      </c>
      <c r="F27">
        <v>20</v>
      </c>
      <c r="G27">
        <v>20</v>
      </c>
      <c r="H27">
        <v>11</v>
      </c>
      <c r="I27">
        <v>14</v>
      </c>
      <c r="J27">
        <v>19</v>
      </c>
      <c r="K27">
        <v>17</v>
      </c>
      <c r="L27">
        <v>9</v>
      </c>
      <c r="M27">
        <v>17</v>
      </c>
      <c r="N27">
        <v>20</v>
      </c>
      <c r="O27">
        <v>20</v>
      </c>
      <c r="P27">
        <v>20</v>
      </c>
      <c r="Q27">
        <f t="shared" si="0"/>
        <v>221</v>
      </c>
      <c r="R27">
        <f t="shared" si="1"/>
        <v>17</v>
      </c>
      <c r="S27">
        <f t="shared" si="2"/>
        <v>17</v>
      </c>
      <c r="T27" t="str">
        <f t="shared" si="3"/>
        <v>17.00</v>
      </c>
    </row>
    <row r="28" spans="1:20" x14ac:dyDescent="0.3">
      <c r="A28" t="s">
        <v>171</v>
      </c>
      <c r="B28" t="s">
        <v>112</v>
      </c>
      <c r="C28" t="s">
        <v>113</v>
      </c>
      <c r="D28">
        <v>15</v>
      </c>
      <c r="E28">
        <v>17</v>
      </c>
      <c r="F28">
        <v>17</v>
      </c>
      <c r="G28">
        <v>20</v>
      </c>
      <c r="H28">
        <v>11</v>
      </c>
      <c r="I28">
        <v>14</v>
      </c>
      <c r="J28">
        <v>19</v>
      </c>
      <c r="K28">
        <v>17</v>
      </c>
      <c r="L28">
        <v>15</v>
      </c>
      <c r="M28">
        <v>18</v>
      </c>
      <c r="N28">
        <v>16</v>
      </c>
      <c r="O28">
        <v>20</v>
      </c>
      <c r="P28">
        <v>20</v>
      </c>
      <c r="Q28">
        <f t="shared" si="0"/>
        <v>219</v>
      </c>
      <c r="R28">
        <f t="shared" si="1"/>
        <v>16.846153846153847</v>
      </c>
      <c r="S28">
        <f t="shared" si="2"/>
        <v>16.850000000000001</v>
      </c>
      <c r="T28" t="str">
        <f t="shared" si="3"/>
        <v>16.85</v>
      </c>
    </row>
    <row r="29" spans="1:20" x14ac:dyDescent="0.3">
      <c r="A29" t="s">
        <v>171</v>
      </c>
      <c r="B29" t="s">
        <v>50</v>
      </c>
      <c r="C29" t="s">
        <v>114</v>
      </c>
      <c r="D29">
        <v>20</v>
      </c>
      <c r="E29">
        <v>20</v>
      </c>
      <c r="F29">
        <v>20</v>
      </c>
      <c r="G29">
        <v>19</v>
      </c>
      <c r="H29">
        <v>15</v>
      </c>
      <c r="I29">
        <v>20</v>
      </c>
      <c r="J29">
        <v>19</v>
      </c>
      <c r="K29">
        <v>19</v>
      </c>
      <c r="L29">
        <v>19</v>
      </c>
      <c r="M29">
        <v>0</v>
      </c>
      <c r="N29">
        <v>20</v>
      </c>
      <c r="O29">
        <v>19</v>
      </c>
      <c r="P29">
        <v>19</v>
      </c>
      <c r="Q29">
        <f t="shared" si="0"/>
        <v>229</v>
      </c>
      <c r="R29">
        <f t="shared" si="1"/>
        <v>17.615384615384617</v>
      </c>
      <c r="S29">
        <f t="shared" si="2"/>
        <v>17.62</v>
      </c>
      <c r="T29" t="str">
        <f t="shared" si="3"/>
        <v>17.62</v>
      </c>
    </row>
    <row r="30" spans="1:20" x14ac:dyDescent="0.3">
      <c r="A30" t="s">
        <v>171</v>
      </c>
      <c r="B30" t="s">
        <v>21</v>
      </c>
      <c r="C30" t="s">
        <v>115</v>
      </c>
      <c r="D30">
        <v>10</v>
      </c>
      <c r="E30">
        <v>0</v>
      </c>
      <c r="F30">
        <v>15</v>
      </c>
      <c r="G30">
        <v>19</v>
      </c>
      <c r="H30">
        <v>9</v>
      </c>
      <c r="I30">
        <v>8</v>
      </c>
      <c r="J30">
        <v>15</v>
      </c>
      <c r="K30">
        <v>0</v>
      </c>
      <c r="L30">
        <v>12</v>
      </c>
      <c r="M30">
        <v>14</v>
      </c>
      <c r="N30">
        <v>18</v>
      </c>
      <c r="O30">
        <v>20</v>
      </c>
      <c r="P30">
        <v>20</v>
      </c>
      <c r="Q30">
        <f t="shared" si="0"/>
        <v>160</v>
      </c>
      <c r="R30">
        <f t="shared" si="1"/>
        <v>12.307692307692308</v>
      </c>
      <c r="S30">
        <f t="shared" si="2"/>
        <v>12.31</v>
      </c>
      <c r="T30" t="str">
        <f t="shared" si="3"/>
        <v>12.31</v>
      </c>
    </row>
    <row r="31" spans="1:20" x14ac:dyDescent="0.3">
      <c r="A31" t="s">
        <v>171</v>
      </c>
      <c r="B31" t="s">
        <v>116</v>
      </c>
      <c r="C31" t="s">
        <v>117</v>
      </c>
      <c r="D31">
        <v>15</v>
      </c>
      <c r="E31">
        <v>20</v>
      </c>
      <c r="F31">
        <v>15</v>
      </c>
      <c r="G31">
        <v>20</v>
      </c>
      <c r="H31">
        <v>9</v>
      </c>
      <c r="I31">
        <v>11</v>
      </c>
      <c r="J31">
        <v>16</v>
      </c>
      <c r="K31">
        <v>18</v>
      </c>
      <c r="L31">
        <v>7</v>
      </c>
      <c r="M31">
        <v>20</v>
      </c>
      <c r="N31">
        <v>18</v>
      </c>
      <c r="O31">
        <v>20</v>
      </c>
      <c r="P31">
        <v>20</v>
      </c>
      <c r="Q31">
        <f t="shared" si="0"/>
        <v>209</v>
      </c>
      <c r="R31">
        <f t="shared" si="1"/>
        <v>16.076923076923077</v>
      </c>
      <c r="S31">
        <f t="shared" si="2"/>
        <v>16.080000000000002</v>
      </c>
      <c r="T31" t="str">
        <f t="shared" si="3"/>
        <v>16.08</v>
      </c>
    </row>
    <row r="32" spans="1:20" x14ac:dyDescent="0.3">
      <c r="A32" t="s">
        <v>171</v>
      </c>
      <c r="B32" t="s">
        <v>118</v>
      </c>
      <c r="C32" t="s">
        <v>119</v>
      </c>
      <c r="D32">
        <v>13</v>
      </c>
      <c r="E32">
        <v>20</v>
      </c>
      <c r="F32">
        <v>14</v>
      </c>
      <c r="G32">
        <v>19</v>
      </c>
      <c r="H32">
        <v>9</v>
      </c>
      <c r="I32">
        <v>8</v>
      </c>
      <c r="J32">
        <v>20</v>
      </c>
      <c r="K32">
        <v>14</v>
      </c>
      <c r="L32">
        <v>6</v>
      </c>
      <c r="M32">
        <v>17</v>
      </c>
      <c r="N32">
        <v>18</v>
      </c>
      <c r="O32">
        <v>20</v>
      </c>
      <c r="P32">
        <v>20</v>
      </c>
      <c r="Q32">
        <f t="shared" si="0"/>
        <v>198</v>
      </c>
      <c r="R32">
        <f t="shared" si="1"/>
        <v>15.23076923076923</v>
      </c>
      <c r="S32">
        <f t="shared" si="2"/>
        <v>15.24</v>
      </c>
      <c r="T32" t="str">
        <f t="shared" si="3"/>
        <v>15.24</v>
      </c>
    </row>
    <row r="33" spans="1:20" x14ac:dyDescent="0.3">
      <c r="A33" t="s">
        <v>171</v>
      </c>
      <c r="B33" t="s">
        <v>120</v>
      </c>
      <c r="C33" t="s">
        <v>121</v>
      </c>
      <c r="D33">
        <v>13</v>
      </c>
      <c r="E33">
        <v>20</v>
      </c>
      <c r="F33">
        <v>14</v>
      </c>
      <c r="G33">
        <v>19</v>
      </c>
      <c r="H33">
        <v>9</v>
      </c>
      <c r="I33">
        <v>8</v>
      </c>
      <c r="J33">
        <v>20</v>
      </c>
      <c r="K33">
        <v>14</v>
      </c>
      <c r="L33">
        <v>6</v>
      </c>
      <c r="M33">
        <v>15</v>
      </c>
      <c r="N33">
        <v>18</v>
      </c>
      <c r="O33">
        <v>20</v>
      </c>
      <c r="P33">
        <v>20</v>
      </c>
      <c r="Q33">
        <f t="shared" si="0"/>
        <v>196</v>
      </c>
      <c r="R33">
        <f t="shared" si="1"/>
        <v>15.076923076923077</v>
      </c>
      <c r="S33">
        <f t="shared" si="2"/>
        <v>15.08</v>
      </c>
      <c r="T33" t="str">
        <f t="shared" si="3"/>
        <v>15.08</v>
      </c>
    </row>
    <row r="34" spans="1:20" x14ac:dyDescent="0.3">
      <c r="A34" t="s">
        <v>171</v>
      </c>
      <c r="B34" t="s">
        <v>122</v>
      </c>
      <c r="C34" t="s">
        <v>123</v>
      </c>
      <c r="D34">
        <v>10</v>
      </c>
      <c r="E34">
        <v>16</v>
      </c>
      <c r="F34">
        <v>0</v>
      </c>
      <c r="G34">
        <v>20</v>
      </c>
      <c r="H34">
        <v>8</v>
      </c>
      <c r="I34">
        <v>11</v>
      </c>
      <c r="J34">
        <v>0</v>
      </c>
      <c r="K34">
        <v>6</v>
      </c>
      <c r="L34">
        <v>4</v>
      </c>
      <c r="M34">
        <v>11</v>
      </c>
      <c r="N34">
        <v>17</v>
      </c>
      <c r="O34">
        <v>20</v>
      </c>
      <c r="P34">
        <v>20</v>
      </c>
      <c r="Q34">
        <f t="shared" si="0"/>
        <v>143</v>
      </c>
      <c r="R34">
        <f t="shared" si="1"/>
        <v>11</v>
      </c>
      <c r="S34">
        <f t="shared" si="2"/>
        <v>11</v>
      </c>
      <c r="T34" t="str">
        <f t="shared" si="3"/>
        <v>11.00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907E-D32A-4647-B174-D04DE3E50EFF}">
  <sheetPr codeName="Sheet3"/>
  <dimension ref="A1:T26"/>
  <sheetViews>
    <sheetView rightToLeft="1" tabSelected="1" workbookViewId="0">
      <selection activeCell="S17" sqref="S17"/>
    </sheetView>
  </sheetViews>
  <sheetFormatPr defaultRowHeight="14.4" x14ac:dyDescent="0.3"/>
  <cols>
    <col min="1" max="1" width="5.6640625" bestFit="1" customWidth="1"/>
    <col min="2" max="2" width="8.109375" bestFit="1" customWidth="1"/>
    <col min="3" max="3" width="10.21875" bestFit="1" customWidth="1"/>
    <col min="4" max="4" width="4" bestFit="1" customWidth="1"/>
    <col min="5" max="5" width="3.77734375" bestFit="1" customWidth="1"/>
    <col min="6" max="7" width="3.44140625" bestFit="1" customWidth="1"/>
    <col min="8" max="8" width="4.88671875" bestFit="1" customWidth="1"/>
    <col min="9" max="9" width="4.6640625" bestFit="1" customWidth="1"/>
    <col min="10" max="10" width="3.88671875" bestFit="1" customWidth="1"/>
    <col min="11" max="11" width="4" bestFit="1" customWidth="1"/>
    <col min="12" max="12" width="5.77734375" bestFit="1" customWidth="1"/>
    <col min="13" max="13" width="6.44140625" bestFit="1" customWidth="1"/>
    <col min="14" max="14" width="4" bestFit="1" customWidth="1"/>
    <col min="15" max="15" width="3.33203125" bestFit="1" customWidth="1"/>
    <col min="16" max="16" width="9.77734375" bestFit="1" customWidth="1"/>
    <col min="17" max="17" width="4" bestFit="1" customWidth="1"/>
    <col min="18" max="18" width="12" bestFit="1" customWidth="1"/>
    <col min="19" max="19" width="6" bestFit="1" customWidth="1"/>
    <col min="20" max="20" width="5.5546875" bestFit="1" customWidth="1"/>
    <col min="21" max="21" width="41.33203125" customWidth="1"/>
  </cols>
  <sheetData>
    <row r="1" spans="1:20" x14ac:dyDescent="0.3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174</v>
      </c>
      <c r="G1" t="s">
        <v>175</v>
      </c>
      <c r="H1" t="s">
        <v>176</v>
      </c>
      <c r="I1" t="s">
        <v>4</v>
      </c>
      <c r="J1" t="s">
        <v>177</v>
      </c>
      <c r="K1" t="s">
        <v>5</v>
      </c>
      <c r="L1" t="s">
        <v>6</v>
      </c>
      <c r="M1" t="s">
        <v>7</v>
      </c>
      <c r="N1" t="s">
        <v>178</v>
      </c>
      <c r="O1" t="s">
        <v>8</v>
      </c>
      <c r="P1" t="s">
        <v>143</v>
      </c>
      <c r="Q1" t="s">
        <v>180</v>
      </c>
      <c r="R1" t="s">
        <v>181</v>
      </c>
      <c r="S1" t="s">
        <v>182</v>
      </c>
      <c r="T1" t="s">
        <v>183</v>
      </c>
    </row>
    <row r="2" spans="1:20" x14ac:dyDescent="0.3">
      <c r="A2" t="s">
        <v>172</v>
      </c>
      <c r="B2" t="s">
        <v>124</v>
      </c>
      <c r="C2" t="s">
        <v>125</v>
      </c>
      <c r="D2">
        <v>15</v>
      </c>
      <c r="E2">
        <v>10</v>
      </c>
      <c r="F2">
        <v>19</v>
      </c>
      <c r="G2">
        <v>20</v>
      </c>
      <c r="H2">
        <v>11</v>
      </c>
      <c r="I2">
        <v>0</v>
      </c>
      <c r="J2">
        <v>20</v>
      </c>
      <c r="K2">
        <v>12</v>
      </c>
      <c r="L2">
        <v>7</v>
      </c>
      <c r="M2">
        <v>20</v>
      </c>
      <c r="N2">
        <v>0</v>
      </c>
      <c r="O2">
        <v>20</v>
      </c>
      <c r="P2">
        <v>20</v>
      </c>
      <c r="Q2">
        <f>SUM(D2:P2)</f>
        <v>174</v>
      </c>
      <c r="R2">
        <f>Q2/13</f>
        <v>13.384615384615385</v>
      </c>
      <c r="S2">
        <f>ROUNDUP(R2,2)</f>
        <v>13.39</v>
      </c>
      <c r="T2" t="str">
        <f>TEXT(S2,"0.00")</f>
        <v>13.39</v>
      </c>
    </row>
    <row r="3" spans="1:20" x14ac:dyDescent="0.3">
      <c r="A3" t="s">
        <v>172</v>
      </c>
      <c r="B3" t="s">
        <v>17</v>
      </c>
      <c r="C3" t="s">
        <v>126</v>
      </c>
      <c r="D3">
        <v>20</v>
      </c>
      <c r="E3">
        <v>20</v>
      </c>
      <c r="F3">
        <v>20</v>
      </c>
      <c r="G3">
        <v>18</v>
      </c>
      <c r="H3">
        <v>20</v>
      </c>
      <c r="I3">
        <v>20</v>
      </c>
      <c r="J3">
        <v>20</v>
      </c>
      <c r="K3">
        <v>20</v>
      </c>
      <c r="L3">
        <v>13</v>
      </c>
      <c r="M3">
        <v>20</v>
      </c>
      <c r="N3">
        <v>19</v>
      </c>
      <c r="O3">
        <v>20</v>
      </c>
      <c r="P3">
        <v>20</v>
      </c>
      <c r="Q3">
        <f t="shared" ref="Q3:Q26" si="0">SUM(D3:P3)</f>
        <v>250</v>
      </c>
      <c r="R3">
        <f t="shared" ref="R3:R26" si="1">Q3/13</f>
        <v>19.23076923076923</v>
      </c>
      <c r="S3">
        <f t="shared" ref="S3:S26" si="2">ROUNDUP(R3,2)</f>
        <v>19.240000000000002</v>
      </c>
      <c r="T3" t="str">
        <f t="shared" ref="T3:T26" si="3">TEXT(S3,"0.00")</f>
        <v>19.24</v>
      </c>
    </row>
    <row r="4" spans="1:20" x14ac:dyDescent="0.3">
      <c r="A4" t="s">
        <v>172</v>
      </c>
      <c r="B4" t="s">
        <v>127</v>
      </c>
      <c r="C4" t="s">
        <v>128</v>
      </c>
      <c r="D4">
        <v>20</v>
      </c>
      <c r="E4">
        <v>20</v>
      </c>
      <c r="F4">
        <v>20</v>
      </c>
      <c r="G4">
        <v>19</v>
      </c>
      <c r="H4">
        <v>20</v>
      </c>
      <c r="I4">
        <v>20</v>
      </c>
      <c r="J4">
        <v>20</v>
      </c>
      <c r="K4">
        <v>20</v>
      </c>
      <c r="L4">
        <v>19</v>
      </c>
      <c r="M4">
        <v>20</v>
      </c>
      <c r="N4">
        <v>20</v>
      </c>
      <c r="O4">
        <v>20</v>
      </c>
      <c r="P4">
        <v>20</v>
      </c>
      <c r="Q4">
        <f t="shared" si="0"/>
        <v>258</v>
      </c>
      <c r="R4">
        <f t="shared" si="1"/>
        <v>19.846153846153847</v>
      </c>
      <c r="S4">
        <f t="shared" si="2"/>
        <v>19.850000000000001</v>
      </c>
      <c r="T4" t="str">
        <f t="shared" si="3"/>
        <v>19.85</v>
      </c>
    </row>
    <row r="5" spans="1:20" x14ac:dyDescent="0.3">
      <c r="A5" t="s">
        <v>172</v>
      </c>
      <c r="B5" t="s">
        <v>129</v>
      </c>
      <c r="C5" t="s">
        <v>130</v>
      </c>
      <c r="D5">
        <v>18</v>
      </c>
      <c r="E5">
        <v>15</v>
      </c>
      <c r="F5">
        <v>20</v>
      </c>
      <c r="G5">
        <v>20</v>
      </c>
      <c r="H5">
        <v>11</v>
      </c>
      <c r="I5">
        <v>8</v>
      </c>
      <c r="J5">
        <v>19</v>
      </c>
      <c r="K5">
        <v>13</v>
      </c>
      <c r="L5">
        <v>6</v>
      </c>
      <c r="M5">
        <v>18</v>
      </c>
      <c r="N5">
        <v>18</v>
      </c>
      <c r="O5">
        <v>20</v>
      </c>
      <c r="P5">
        <v>20</v>
      </c>
      <c r="Q5">
        <f t="shared" si="0"/>
        <v>206</v>
      </c>
      <c r="R5">
        <f t="shared" si="1"/>
        <v>15.846153846153847</v>
      </c>
      <c r="S5">
        <f t="shared" si="2"/>
        <v>15.85</v>
      </c>
      <c r="T5" t="str">
        <f t="shared" si="3"/>
        <v>15.85</v>
      </c>
    </row>
    <row r="6" spans="1:20" x14ac:dyDescent="0.3">
      <c r="A6" t="s">
        <v>172</v>
      </c>
      <c r="B6" t="s">
        <v>45</v>
      </c>
      <c r="C6" t="s">
        <v>131</v>
      </c>
      <c r="D6">
        <v>20</v>
      </c>
      <c r="E6">
        <v>17</v>
      </c>
      <c r="F6">
        <v>10</v>
      </c>
      <c r="G6">
        <v>19</v>
      </c>
      <c r="H6">
        <v>16</v>
      </c>
      <c r="I6">
        <v>13</v>
      </c>
      <c r="J6">
        <v>20</v>
      </c>
      <c r="K6">
        <v>16</v>
      </c>
      <c r="L6">
        <v>11</v>
      </c>
      <c r="M6">
        <v>18</v>
      </c>
      <c r="N6">
        <v>17</v>
      </c>
      <c r="O6">
        <v>20</v>
      </c>
      <c r="P6">
        <v>20</v>
      </c>
      <c r="Q6">
        <f t="shared" si="0"/>
        <v>217</v>
      </c>
      <c r="R6">
        <f t="shared" si="1"/>
        <v>16.692307692307693</v>
      </c>
      <c r="S6">
        <f t="shared" si="2"/>
        <v>16.700000000000003</v>
      </c>
      <c r="T6" t="str">
        <f t="shared" si="3"/>
        <v>16.70</v>
      </c>
    </row>
    <row r="7" spans="1:20" x14ac:dyDescent="0.3">
      <c r="A7" t="s">
        <v>172</v>
      </c>
      <c r="B7" t="s">
        <v>21</v>
      </c>
      <c r="C7" t="s">
        <v>132</v>
      </c>
      <c r="D7">
        <v>13</v>
      </c>
      <c r="E7">
        <v>10</v>
      </c>
      <c r="F7">
        <v>15</v>
      </c>
      <c r="G7">
        <v>19</v>
      </c>
      <c r="H7">
        <v>6</v>
      </c>
      <c r="I7">
        <v>5</v>
      </c>
      <c r="J7">
        <v>17</v>
      </c>
      <c r="K7">
        <v>4</v>
      </c>
      <c r="L7">
        <v>0</v>
      </c>
      <c r="M7">
        <v>13</v>
      </c>
      <c r="N7">
        <v>14</v>
      </c>
      <c r="O7">
        <v>20</v>
      </c>
      <c r="P7">
        <v>20</v>
      </c>
      <c r="Q7">
        <f t="shared" si="0"/>
        <v>156</v>
      </c>
      <c r="R7">
        <f t="shared" si="1"/>
        <v>12</v>
      </c>
      <c r="S7">
        <f t="shared" si="2"/>
        <v>12</v>
      </c>
      <c r="T7" t="str">
        <f t="shared" si="3"/>
        <v>12.00</v>
      </c>
    </row>
    <row r="8" spans="1:20" x14ac:dyDescent="0.3">
      <c r="A8" t="s">
        <v>172</v>
      </c>
      <c r="B8" t="s">
        <v>17</v>
      </c>
      <c r="C8" t="s">
        <v>133</v>
      </c>
      <c r="D8">
        <v>20</v>
      </c>
      <c r="E8">
        <v>20</v>
      </c>
      <c r="F8">
        <v>20</v>
      </c>
      <c r="G8">
        <v>20</v>
      </c>
      <c r="H8">
        <v>12</v>
      </c>
      <c r="I8">
        <v>16</v>
      </c>
      <c r="J8">
        <v>20</v>
      </c>
      <c r="K8">
        <v>17</v>
      </c>
      <c r="L8">
        <v>17</v>
      </c>
      <c r="M8">
        <v>20</v>
      </c>
      <c r="N8">
        <v>20</v>
      </c>
      <c r="O8">
        <v>20</v>
      </c>
      <c r="P8">
        <v>20</v>
      </c>
      <c r="Q8">
        <f t="shared" si="0"/>
        <v>242</v>
      </c>
      <c r="R8">
        <f t="shared" si="1"/>
        <v>18.615384615384617</v>
      </c>
      <c r="S8">
        <f t="shared" si="2"/>
        <v>18.62</v>
      </c>
      <c r="T8" t="str">
        <f t="shared" si="3"/>
        <v>18.62</v>
      </c>
    </row>
    <row r="9" spans="1:20" x14ac:dyDescent="0.3">
      <c r="A9" t="s">
        <v>172</v>
      </c>
      <c r="B9" t="s">
        <v>134</v>
      </c>
      <c r="C9" t="s">
        <v>135</v>
      </c>
      <c r="D9">
        <v>18</v>
      </c>
      <c r="E9">
        <v>10</v>
      </c>
      <c r="F9">
        <v>19</v>
      </c>
      <c r="G9">
        <v>20</v>
      </c>
      <c r="H9">
        <v>7</v>
      </c>
      <c r="I9">
        <v>15</v>
      </c>
      <c r="J9">
        <v>19</v>
      </c>
      <c r="K9">
        <v>14</v>
      </c>
      <c r="L9">
        <v>7</v>
      </c>
      <c r="M9">
        <v>17</v>
      </c>
      <c r="N9">
        <v>16</v>
      </c>
      <c r="O9">
        <v>20</v>
      </c>
      <c r="P9">
        <v>20</v>
      </c>
      <c r="Q9">
        <f t="shared" si="0"/>
        <v>202</v>
      </c>
      <c r="R9">
        <f t="shared" si="1"/>
        <v>15.538461538461538</v>
      </c>
      <c r="S9">
        <f t="shared" si="2"/>
        <v>15.54</v>
      </c>
      <c r="T9" t="str">
        <f t="shared" si="3"/>
        <v>15.54</v>
      </c>
    </row>
    <row r="10" spans="1:20" x14ac:dyDescent="0.3">
      <c r="A10" t="s">
        <v>172</v>
      </c>
      <c r="B10" t="s">
        <v>136</v>
      </c>
      <c r="C10" t="s">
        <v>137</v>
      </c>
      <c r="D10">
        <v>20</v>
      </c>
      <c r="E10">
        <v>15</v>
      </c>
      <c r="F10">
        <v>19</v>
      </c>
      <c r="G10">
        <v>20</v>
      </c>
      <c r="H10">
        <v>14</v>
      </c>
      <c r="I10">
        <v>16</v>
      </c>
      <c r="J10">
        <v>19</v>
      </c>
      <c r="K10">
        <v>18</v>
      </c>
      <c r="L10">
        <v>17</v>
      </c>
      <c r="M10">
        <v>17</v>
      </c>
      <c r="N10">
        <v>18</v>
      </c>
      <c r="O10">
        <v>20</v>
      </c>
      <c r="P10">
        <v>20</v>
      </c>
      <c r="Q10">
        <f t="shared" si="0"/>
        <v>233</v>
      </c>
      <c r="R10">
        <f t="shared" si="1"/>
        <v>17.923076923076923</v>
      </c>
      <c r="S10">
        <f t="shared" si="2"/>
        <v>17.930000000000003</v>
      </c>
      <c r="T10" t="str">
        <f t="shared" si="3"/>
        <v>17.93</v>
      </c>
    </row>
    <row r="11" spans="1:20" x14ac:dyDescent="0.3">
      <c r="A11" t="s">
        <v>172</v>
      </c>
      <c r="B11" t="s">
        <v>138</v>
      </c>
      <c r="C11" t="s">
        <v>139</v>
      </c>
      <c r="D11">
        <v>15</v>
      </c>
      <c r="E11">
        <v>15</v>
      </c>
      <c r="F11">
        <v>17</v>
      </c>
      <c r="G11">
        <v>19</v>
      </c>
      <c r="H11">
        <v>12</v>
      </c>
      <c r="I11">
        <v>10</v>
      </c>
      <c r="J11">
        <v>20</v>
      </c>
      <c r="K11">
        <v>17</v>
      </c>
      <c r="L11">
        <v>15</v>
      </c>
      <c r="M11">
        <v>17</v>
      </c>
      <c r="N11">
        <v>17</v>
      </c>
      <c r="O11">
        <v>20</v>
      </c>
      <c r="P11">
        <v>20</v>
      </c>
      <c r="Q11">
        <f t="shared" si="0"/>
        <v>214</v>
      </c>
      <c r="R11">
        <f t="shared" si="1"/>
        <v>16.46153846153846</v>
      </c>
      <c r="S11">
        <f t="shared" si="2"/>
        <v>16.470000000000002</v>
      </c>
      <c r="T11" t="str">
        <f t="shared" si="3"/>
        <v>16.47</v>
      </c>
    </row>
    <row r="12" spans="1:20" x14ac:dyDescent="0.3">
      <c r="A12" t="s">
        <v>172</v>
      </c>
      <c r="B12" t="s">
        <v>140</v>
      </c>
      <c r="C12" t="s">
        <v>141</v>
      </c>
      <c r="D12">
        <v>20</v>
      </c>
      <c r="E12">
        <v>20</v>
      </c>
      <c r="F12">
        <v>20</v>
      </c>
      <c r="G12">
        <v>19</v>
      </c>
      <c r="H12">
        <v>11</v>
      </c>
      <c r="I12">
        <v>14</v>
      </c>
      <c r="J12">
        <v>19</v>
      </c>
      <c r="K12">
        <v>16</v>
      </c>
      <c r="L12">
        <v>12</v>
      </c>
      <c r="M12">
        <v>17</v>
      </c>
      <c r="N12">
        <v>18</v>
      </c>
      <c r="O12">
        <v>20</v>
      </c>
      <c r="P12">
        <v>20</v>
      </c>
      <c r="Q12">
        <f t="shared" si="0"/>
        <v>226</v>
      </c>
      <c r="R12">
        <f t="shared" si="1"/>
        <v>17.384615384615383</v>
      </c>
      <c r="S12">
        <f t="shared" si="2"/>
        <v>17.39</v>
      </c>
      <c r="T12" t="str">
        <f t="shared" si="3"/>
        <v>17.39</v>
      </c>
    </row>
    <row r="13" spans="1:20" x14ac:dyDescent="0.3">
      <c r="A13" t="s">
        <v>172</v>
      </c>
      <c r="B13" t="s">
        <v>68</v>
      </c>
      <c r="C13" t="s">
        <v>142</v>
      </c>
      <c r="D13">
        <v>13</v>
      </c>
      <c r="E13">
        <v>10</v>
      </c>
      <c r="F13">
        <v>18</v>
      </c>
      <c r="G13">
        <v>19</v>
      </c>
      <c r="H13">
        <v>12</v>
      </c>
      <c r="I13">
        <v>19</v>
      </c>
      <c r="J13">
        <v>20</v>
      </c>
      <c r="K13">
        <v>16</v>
      </c>
      <c r="L13">
        <v>11</v>
      </c>
      <c r="M13">
        <v>12</v>
      </c>
      <c r="N13">
        <v>12</v>
      </c>
      <c r="O13">
        <v>20</v>
      </c>
      <c r="P13">
        <v>20</v>
      </c>
      <c r="Q13">
        <f t="shared" si="0"/>
        <v>202</v>
      </c>
      <c r="R13">
        <f t="shared" si="1"/>
        <v>15.538461538461538</v>
      </c>
      <c r="S13">
        <f t="shared" si="2"/>
        <v>15.54</v>
      </c>
      <c r="T13" t="str">
        <f t="shared" si="3"/>
        <v>15.54</v>
      </c>
    </row>
    <row r="14" spans="1:20" x14ac:dyDescent="0.3">
      <c r="A14" t="s">
        <v>173</v>
      </c>
      <c r="B14" t="s">
        <v>144</v>
      </c>
      <c r="C14" t="s">
        <v>145</v>
      </c>
      <c r="D14">
        <v>20</v>
      </c>
      <c r="E14">
        <v>20</v>
      </c>
      <c r="F14">
        <v>17</v>
      </c>
      <c r="G14">
        <v>18</v>
      </c>
      <c r="H14">
        <v>16</v>
      </c>
      <c r="I14">
        <v>0</v>
      </c>
      <c r="J14">
        <v>20</v>
      </c>
      <c r="K14">
        <v>20</v>
      </c>
      <c r="L14">
        <v>19</v>
      </c>
      <c r="M14">
        <v>20</v>
      </c>
      <c r="N14">
        <v>20</v>
      </c>
      <c r="O14">
        <v>20</v>
      </c>
      <c r="P14">
        <v>20</v>
      </c>
      <c r="Q14">
        <f t="shared" si="0"/>
        <v>230</v>
      </c>
      <c r="R14">
        <f t="shared" si="1"/>
        <v>17.692307692307693</v>
      </c>
      <c r="S14">
        <f t="shared" si="2"/>
        <v>17.700000000000003</v>
      </c>
      <c r="T14" t="str">
        <f t="shared" si="3"/>
        <v>17.70</v>
      </c>
    </row>
    <row r="15" spans="1:20" x14ac:dyDescent="0.3">
      <c r="A15" t="s">
        <v>173</v>
      </c>
      <c r="B15" t="s">
        <v>144</v>
      </c>
      <c r="C15" t="s">
        <v>146</v>
      </c>
      <c r="D15">
        <v>0</v>
      </c>
      <c r="E15">
        <v>0</v>
      </c>
      <c r="F15">
        <v>17</v>
      </c>
      <c r="G15">
        <v>17</v>
      </c>
      <c r="H15">
        <v>11</v>
      </c>
      <c r="I15">
        <v>12</v>
      </c>
      <c r="J15">
        <v>19</v>
      </c>
      <c r="K15">
        <v>15</v>
      </c>
      <c r="L15">
        <v>11</v>
      </c>
      <c r="M15">
        <v>15</v>
      </c>
      <c r="N15">
        <v>19</v>
      </c>
      <c r="O15">
        <v>20</v>
      </c>
      <c r="P15">
        <v>20</v>
      </c>
      <c r="Q15">
        <f t="shared" si="0"/>
        <v>176</v>
      </c>
      <c r="R15">
        <f t="shared" si="1"/>
        <v>13.538461538461538</v>
      </c>
      <c r="S15">
        <f t="shared" si="2"/>
        <v>13.54</v>
      </c>
      <c r="T15" t="str">
        <f t="shared" si="3"/>
        <v>13.54</v>
      </c>
    </row>
    <row r="16" spans="1:20" x14ac:dyDescent="0.3">
      <c r="A16" t="s">
        <v>173</v>
      </c>
      <c r="B16" t="s">
        <v>147</v>
      </c>
      <c r="C16" t="s">
        <v>148</v>
      </c>
      <c r="D16">
        <v>10</v>
      </c>
      <c r="E16">
        <v>14</v>
      </c>
      <c r="F16">
        <v>17</v>
      </c>
      <c r="G16">
        <v>19</v>
      </c>
      <c r="H16">
        <v>6</v>
      </c>
      <c r="I16">
        <v>7</v>
      </c>
      <c r="J16">
        <v>20</v>
      </c>
      <c r="K16">
        <v>13</v>
      </c>
      <c r="L16">
        <v>14</v>
      </c>
      <c r="M16">
        <v>10</v>
      </c>
      <c r="N16">
        <v>17</v>
      </c>
      <c r="O16">
        <v>20</v>
      </c>
      <c r="P16">
        <v>20</v>
      </c>
      <c r="Q16">
        <f t="shared" si="0"/>
        <v>187</v>
      </c>
      <c r="R16">
        <f t="shared" si="1"/>
        <v>14.384615384615385</v>
      </c>
      <c r="S16">
        <f t="shared" si="2"/>
        <v>14.39</v>
      </c>
      <c r="T16" t="str">
        <f t="shared" si="3"/>
        <v>14.39</v>
      </c>
    </row>
    <row r="17" spans="1:20" x14ac:dyDescent="0.3">
      <c r="A17" t="s">
        <v>173</v>
      </c>
      <c r="B17" t="s">
        <v>149</v>
      </c>
      <c r="C17" t="s">
        <v>150</v>
      </c>
      <c r="D17">
        <v>18</v>
      </c>
      <c r="E17">
        <v>18</v>
      </c>
      <c r="F17">
        <v>16</v>
      </c>
      <c r="G17">
        <v>20</v>
      </c>
      <c r="H17">
        <v>13</v>
      </c>
      <c r="I17">
        <v>15</v>
      </c>
      <c r="J17">
        <v>20</v>
      </c>
      <c r="K17">
        <v>19</v>
      </c>
      <c r="L17">
        <v>16</v>
      </c>
      <c r="M17">
        <v>20</v>
      </c>
      <c r="N17">
        <v>18</v>
      </c>
      <c r="O17">
        <v>20</v>
      </c>
      <c r="P17">
        <v>20</v>
      </c>
      <c r="Q17">
        <f t="shared" si="0"/>
        <v>233</v>
      </c>
      <c r="R17">
        <f t="shared" si="1"/>
        <v>17.923076923076923</v>
      </c>
      <c r="S17">
        <f t="shared" si="2"/>
        <v>17.930000000000003</v>
      </c>
      <c r="T17" t="str">
        <f t="shared" si="3"/>
        <v>17.93</v>
      </c>
    </row>
    <row r="18" spans="1:20" x14ac:dyDescent="0.3">
      <c r="A18" t="s">
        <v>173</v>
      </c>
      <c r="B18" t="s">
        <v>151</v>
      </c>
      <c r="C18" t="s">
        <v>152</v>
      </c>
      <c r="D18">
        <v>20</v>
      </c>
      <c r="E18">
        <v>20</v>
      </c>
      <c r="F18">
        <v>19</v>
      </c>
      <c r="G18">
        <v>20</v>
      </c>
      <c r="H18">
        <v>18</v>
      </c>
      <c r="I18">
        <v>15</v>
      </c>
      <c r="J18">
        <v>20</v>
      </c>
      <c r="K18">
        <v>18</v>
      </c>
      <c r="L18">
        <v>15</v>
      </c>
      <c r="M18">
        <v>20</v>
      </c>
      <c r="N18">
        <v>15</v>
      </c>
      <c r="O18">
        <v>20</v>
      </c>
      <c r="P18">
        <v>20</v>
      </c>
      <c r="Q18">
        <f t="shared" si="0"/>
        <v>240</v>
      </c>
      <c r="R18">
        <f t="shared" si="1"/>
        <v>18.46153846153846</v>
      </c>
      <c r="S18">
        <f t="shared" si="2"/>
        <v>18.470000000000002</v>
      </c>
      <c r="T18" t="str">
        <f t="shared" si="3"/>
        <v>18.47</v>
      </c>
    </row>
    <row r="19" spans="1:20" x14ac:dyDescent="0.3">
      <c r="A19" t="s">
        <v>173</v>
      </c>
      <c r="B19" t="s">
        <v>153</v>
      </c>
      <c r="C19" t="s">
        <v>154</v>
      </c>
      <c r="D19">
        <v>12</v>
      </c>
      <c r="E19">
        <v>0</v>
      </c>
      <c r="F19">
        <v>12</v>
      </c>
      <c r="G19">
        <v>19</v>
      </c>
      <c r="H19">
        <v>5</v>
      </c>
      <c r="I19">
        <v>4</v>
      </c>
      <c r="J19">
        <v>11</v>
      </c>
      <c r="K19">
        <v>0</v>
      </c>
      <c r="L19">
        <v>4</v>
      </c>
      <c r="M19">
        <v>14</v>
      </c>
      <c r="N19">
        <v>10</v>
      </c>
      <c r="O19">
        <v>20</v>
      </c>
      <c r="P19">
        <v>19</v>
      </c>
      <c r="Q19">
        <f t="shared" si="0"/>
        <v>130</v>
      </c>
      <c r="R19">
        <f t="shared" si="1"/>
        <v>10</v>
      </c>
      <c r="S19">
        <f t="shared" si="2"/>
        <v>10</v>
      </c>
      <c r="T19" t="str">
        <f t="shared" si="3"/>
        <v>10.00</v>
      </c>
    </row>
    <row r="20" spans="1:20" x14ac:dyDescent="0.3">
      <c r="A20" t="s">
        <v>173</v>
      </c>
      <c r="B20" t="s">
        <v>155</v>
      </c>
      <c r="C20" t="s">
        <v>156</v>
      </c>
      <c r="D20">
        <v>15</v>
      </c>
      <c r="E20">
        <v>20</v>
      </c>
      <c r="F20">
        <v>17</v>
      </c>
      <c r="G20">
        <v>19</v>
      </c>
      <c r="H20">
        <v>8</v>
      </c>
      <c r="I20">
        <v>8</v>
      </c>
      <c r="J20">
        <v>15</v>
      </c>
      <c r="K20">
        <v>10</v>
      </c>
      <c r="L20">
        <v>7</v>
      </c>
      <c r="M20">
        <v>15</v>
      </c>
      <c r="N20">
        <v>17</v>
      </c>
      <c r="O20">
        <v>20</v>
      </c>
      <c r="P20">
        <v>19</v>
      </c>
      <c r="Q20">
        <f t="shared" si="0"/>
        <v>190</v>
      </c>
      <c r="R20">
        <f t="shared" si="1"/>
        <v>14.615384615384615</v>
      </c>
      <c r="S20">
        <f t="shared" si="2"/>
        <v>14.62</v>
      </c>
      <c r="T20" t="str">
        <f t="shared" si="3"/>
        <v>14.62</v>
      </c>
    </row>
    <row r="21" spans="1:20" x14ac:dyDescent="0.3">
      <c r="A21" t="s">
        <v>173</v>
      </c>
      <c r="B21" t="s">
        <v>21</v>
      </c>
      <c r="C21" t="s">
        <v>157</v>
      </c>
      <c r="D21">
        <v>20</v>
      </c>
      <c r="E21">
        <v>20</v>
      </c>
      <c r="F21">
        <v>19</v>
      </c>
      <c r="G21">
        <v>20</v>
      </c>
      <c r="H21">
        <v>16</v>
      </c>
      <c r="I21">
        <v>8</v>
      </c>
      <c r="J21">
        <v>18</v>
      </c>
      <c r="K21">
        <v>11</v>
      </c>
      <c r="L21">
        <v>6</v>
      </c>
      <c r="M21">
        <v>20</v>
      </c>
      <c r="N21">
        <v>19</v>
      </c>
      <c r="O21">
        <v>20</v>
      </c>
      <c r="P21">
        <v>20</v>
      </c>
      <c r="Q21">
        <f t="shared" si="0"/>
        <v>217</v>
      </c>
      <c r="R21">
        <f t="shared" si="1"/>
        <v>16.692307692307693</v>
      </c>
      <c r="S21">
        <f t="shared" si="2"/>
        <v>16.700000000000003</v>
      </c>
      <c r="T21" t="str">
        <f t="shared" si="3"/>
        <v>16.70</v>
      </c>
    </row>
    <row r="22" spans="1:20" x14ac:dyDescent="0.3">
      <c r="A22" t="s">
        <v>173</v>
      </c>
      <c r="B22" t="s">
        <v>158</v>
      </c>
      <c r="C22" t="s">
        <v>159</v>
      </c>
      <c r="D22">
        <v>18</v>
      </c>
      <c r="E22">
        <v>16</v>
      </c>
      <c r="F22">
        <v>10</v>
      </c>
      <c r="G22">
        <v>19</v>
      </c>
      <c r="H22">
        <v>8</v>
      </c>
      <c r="I22">
        <v>4</v>
      </c>
      <c r="J22">
        <v>17</v>
      </c>
      <c r="K22">
        <v>15</v>
      </c>
      <c r="L22">
        <v>7</v>
      </c>
      <c r="M22">
        <v>13</v>
      </c>
      <c r="N22">
        <v>15</v>
      </c>
      <c r="O22">
        <v>20</v>
      </c>
      <c r="P22">
        <v>20</v>
      </c>
      <c r="Q22">
        <f t="shared" si="0"/>
        <v>182</v>
      </c>
      <c r="R22">
        <f t="shared" si="1"/>
        <v>14</v>
      </c>
      <c r="S22">
        <f t="shared" si="2"/>
        <v>14</v>
      </c>
      <c r="T22" t="str">
        <f t="shared" si="3"/>
        <v>14.00</v>
      </c>
    </row>
    <row r="23" spans="1:20" x14ac:dyDescent="0.3">
      <c r="A23" t="s">
        <v>173</v>
      </c>
      <c r="B23" t="s">
        <v>160</v>
      </c>
      <c r="C23" t="s">
        <v>161</v>
      </c>
      <c r="D23">
        <v>18</v>
      </c>
      <c r="E23">
        <v>20</v>
      </c>
      <c r="F23">
        <v>18</v>
      </c>
      <c r="G23">
        <v>17</v>
      </c>
      <c r="H23">
        <v>9</v>
      </c>
      <c r="I23">
        <v>7</v>
      </c>
      <c r="J23">
        <v>20</v>
      </c>
      <c r="K23">
        <v>19</v>
      </c>
      <c r="L23">
        <v>12</v>
      </c>
      <c r="M23">
        <v>20</v>
      </c>
      <c r="N23">
        <v>17</v>
      </c>
      <c r="O23">
        <v>20</v>
      </c>
      <c r="P23">
        <v>20</v>
      </c>
      <c r="Q23">
        <f t="shared" si="0"/>
        <v>217</v>
      </c>
      <c r="R23">
        <f t="shared" si="1"/>
        <v>16.692307692307693</v>
      </c>
      <c r="S23">
        <f t="shared" si="2"/>
        <v>16.700000000000003</v>
      </c>
      <c r="T23" t="str">
        <f t="shared" si="3"/>
        <v>16.70</v>
      </c>
    </row>
    <row r="24" spans="1:20" x14ac:dyDescent="0.3">
      <c r="A24" t="s">
        <v>173</v>
      </c>
      <c r="B24" t="s">
        <v>120</v>
      </c>
      <c r="C24" t="s">
        <v>162</v>
      </c>
      <c r="D24">
        <v>13</v>
      </c>
      <c r="E24">
        <v>18</v>
      </c>
      <c r="F24">
        <v>15</v>
      </c>
      <c r="G24">
        <v>18</v>
      </c>
      <c r="H24">
        <v>8</v>
      </c>
      <c r="I24">
        <v>5</v>
      </c>
      <c r="J24">
        <v>19</v>
      </c>
      <c r="K24">
        <v>9</v>
      </c>
      <c r="L24">
        <v>16</v>
      </c>
      <c r="M24">
        <v>20</v>
      </c>
      <c r="N24">
        <v>17</v>
      </c>
      <c r="O24">
        <v>20</v>
      </c>
      <c r="P24">
        <v>20</v>
      </c>
      <c r="Q24">
        <f t="shared" si="0"/>
        <v>198</v>
      </c>
      <c r="R24">
        <f t="shared" si="1"/>
        <v>15.23076923076923</v>
      </c>
      <c r="S24">
        <f t="shared" si="2"/>
        <v>15.24</v>
      </c>
      <c r="T24" t="str">
        <f t="shared" si="3"/>
        <v>15.24</v>
      </c>
    </row>
    <row r="25" spans="1:20" x14ac:dyDescent="0.3">
      <c r="A25" t="s">
        <v>173</v>
      </c>
      <c r="B25" t="s">
        <v>163</v>
      </c>
      <c r="C25" t="s">
        <v>164</v>
      </c>
      <c r="D25">
        <v>20</v>
      </c>
      <c r="E25">
        <v>20</v>
      </c>
      <c r="F25">
        <v>20</v>
      </c>
      <c r="G25">
        <v>20</v>
      </c>
      <c r="H25">
        <v>16</v>
      </c>
      <c r="I25">
        <v>15</v>
      </c>
      <c r="J25">
        <v>20</v>
      </c>
      <c r="K25">
        <v>20</v>
      </c>
      <c r="L25">
        <v>12</v>
      </c>
      <c r="M25">
        <v>20</v>
      </c>
      <c r="N25">
        <v>18</v>
      </c>
      <c r="O25">
        <v>20</v>
      </c>
      <c r="P25">
        <v>20</v>
      </c>
      <c r="Q25">
        <f t="shared" si="0"/>
        <v>241</v>
      </c>
      <c r="R25">
        <f t="shared" si="1"/>
        <v>18.53846153846154</v>
      </c>
      <c r="S25">
        <f t="shared" si="2"/>
        <v>18.540000000000003</v>
      </c>
      <c r="T25" t="str">
        <f t="shared" si="3"/>
        <v>18.54</v>
      </c>
    </row>
    <row r="26" spans="1:20" x14ac:dyDescent="0.3">
      <c r="A26" t="s">
        <v>173</v>
      </c>
      <c r="B26" t="s">
        <v>165</v>
      </c>
      <c r="C26" t="s">
        <v>166</v>
      </c>
      <c r="D26">
        <v>3</v>
      </c>
      <c r="E26">
        <v>0</v>
      </c>
      <c r="F26">
        <v>13</v>
      </c>
      <c r="G26">
        <v>0</v>
      </c>
      <c r="H26">
        <v>8</v>
      </c>
      <c r="I26">
        <v>6</v>
      </c>
      <c r="J26">
        <v>19</v>
      </c>
      <c r="K26">
        <v>7</v>
      </c>
      <c r="L26">
        <v>11</v>
      </c>
      <c r="M26">
        <v>16</v>
      </c>
      <c r="N26">
        <v>0</v>
      </c>
      <c r="O26">
        <v>20</v>
      </c>
      <c r="P26">
        <v>20</v>
      </c>
      <c r="Q26">
        <f t="shared" si="0"/>
        <v>123</v>
      </c>
      <c r="R26">
        <f t="shared" si="1"/>
        <v>9.4615384615384617</v>
      </c>
      <c r="S26">
        <f t="shared" si="2"/>
        <v>9.4700000000000006</v>
      </c>
      <c r="T26" t="str">
        <f t="shared" si="3"/>
        <v>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Saeid Sahragard</cp:lastModifiedBy>
  <dcterms:created xsi:type="dcterms:W3CDTF">2015-06-05T18:17:20Z</dcterms:created>
  <dcterms:modified xsi:type="dcterms:W3CDTF">2025-12-18T10:57:33Z</dcterms:modified>
</cp:coreProperties>
</file>